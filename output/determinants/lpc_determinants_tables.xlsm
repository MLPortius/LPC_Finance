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Escobar\Documents\Python Scripts\LPC_Finance\output\determinants\"/>
    </mc:Choice>
  </mc:AlternateContent>
  <xr:revisionPtr revIDLastSave="0" documentId="13_ncr:1_{B7D15023-8958-41F0-A375-AED2FEE0099C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ET1_DA" sheetId="1" r:id="rId1"/>
    <sheet name="SET1_MAPE" sheetId="2" r:id="rId2"/>
    <sheet name="SET1_DIS" sheetId="3" r:id="rId3"/>
    <sheet name="SET2_DA" sheetId="4" r:id="rId4"/>
    <sheet name="SET2_MAPE" sheetId="5" r:id="rId5"/>
    <sheet name="SET2_DIS" sheetId="6" r:id="rId6"/>
    <sheet name="SET3_DA" sheetId="7" r:id="rId7"/>
    <sheet name="SET3_MAPE" sheetId="8" r:id="rId8"/>
    <sheet name="SET3_DIS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7" i="2" l="1"/>
  <c r="AQ54" i="2"/>
  <c r="AQ51" i="2"/>
  <c r="AQ48" i="2"/>
  <c r="AQ47" i="2"/>
  <c r="AQ45" i="2"/>
  <c r="AQ42" i="2"/>
  <c r="AQ39" i="2"/>
  <c r="AQ36" i="2"/>
  <c r="AQ35" i="2"/>
  <c r="AQ33" i="2"/>
  <c r="AQ30" i="2"/>
  <c r="AQ27" i="2"/>
  <c r="AQ24" i="2"/>
  <c r="AQ23" i="2"/>
  <c r="AQ21" i="2"/>
  <c r="AQ18" i="2"/>
  <c r="AQ15" i="2"/>
  <c r="AQ12" i="2"/>
  <c r="AQ11" i="2"/>
  <c r="AQ9" i="2"/>
  <c r="AN57" i="2"/>
  <c r="AN54" i="2"/>
  <c r="AN51" i="2"/>
  <c r="AN48" i="2"/>
  <c r="AN47" i="2"/>
  <c r="AN45" i="2"/>
  <c r="AN42" i="2"/>
  <c r="AN39" i="2"/>
  <c r="AN36" i="2"/>
  <c r="AN33" i="2"/>
  <c r="AN30" i="2"/>
  <c r="AN27" i="2"/>
  <c r="AN24" i="2"/>
  <c r="AN21" i="2"/>
  <c r="AN18" i="2"/>
  <c r="AN15" i="2"/>
  <c r="AN12" i="2"/>
  <c r="AN11" i="2"/>
  <c r="AN9" i="2"/>
  <c r="AK57" i="2"/>
  <c r="AK54" i="2"/>
  <c r="AK51" i="2"/>
  <c r="AK48" i="2"/>
  <c r="AK45" i="2"/>
  <c r="AK42" i="2"/>
  <c r="AK39" i="2"/>
  <c r="AK36" i="2"/>
  <c r="AK33" i="2"/>
  <c r="AK30" i="2"/>
  <c r="AK27" i="2"/>
  <c r="AK24" i="2"/>
  <c r="AK21" i="2"/>
  <c r="AK18" i="2"/>
  <c r="AK15" i="2"/>
  <c r="AK12" i="2"/>
  <c r="AK9" i="2"/>
  <c r="AH57" i="2"/>
  <c r="AH54" i="2"/>
  <c r="AH51" i="2"/>
  <c r="AH48" i="2"/>
  <c r="AH45" i="2"/>
  <c r="AH42" i="2"/>
  <c r="AH39" i="2"/>
  <c r="AH36" i="2"/>
  <c r="AH33" i="2"/>
  <c r="AH30" i="2"/>
  <c r="AH27" i="2"/>
  <c r="AH24" i="2"/>
  <c r="AH21" i="2"/>
  <c r="AH18" i="2"/>
  <c r="AH15" i="2"/>
  <c r="AH12" i="2"/>
  <c r="AH9" i="2"/>
  <c r="AE57" i="2"/>
  <c r="AE54" i="2"/>
  <c r="AE51" i="2"/>
  <c r="AE48" i="2"/>
  <c r="AE45" i="2"/>
  <c r="AE42" i="2"/>
  <c r="AE39" i="2"/>
  <c r="AE36" i="2"/>
  <c r="AE33" i="2"/>
  <c r="AE30" i="2"/>
  <c r="AE27" i="2"/>
  <c r="AE24" i="2"/>
  <c r="AE21" i="2"/>
  <c r="AE18" i="2"/>
  <c r="AE15" i="2"/>
  <c r="AE12" i="2"/>
  <c r="AE9" i="2"/>
  <c r="AB57" i="2"/>
  <c r="AB54" i="2"/>
  <c r="AB51" i="2"/>
  <c r="AB48" i="2"/>
  <c r="AB45" i="2"/>
  <c r="AB42" i="2"/>
  <c r="AB39" i="2"/>
  <c r="AB36" i="2"/>
  <c r="AB33" i="2"/>
  <c r="AB30" i="2"/>
  <c r="AB27" i="2"/>
  <c r="AB24" i="2"/>
  <c r="AB21" i="2"/>
  <c r="AB18" i="2"/>
  <c r="AB15" i="2"/>
  <c r="AB12" i="2"/>
  <c r="AB9" i="2"/>
  <c r="Y57" i="2"/>
  <c r="Y54" i="2"/>
  <c r="Y51" i="2"/>
  <c r="Y48" i="2"/>
  <c r="Y45" i="2"/>
  <c r="Y42" i="2"/>
  <c r="Y39" i="2"/>
  <c r="Y36" i="2"/>
  <c r="Y33" i="2"/>
  <c r="Y30" i="2"/>
  <c r="Y27" i="2"/>
  <c r="Y24" i="2"/>
  <c r="Y21" i="2"/>
  <c r="Y18" i="2"/>
  <c r="Y15" i="2"/>
  <c r="Y12" i="2"/>
  <c r="Y9" i="2"/>
  <c r="V57" i="2"/>
  <c r="V54" i="2"/>
  <c r="V51" i="2"/>
  <c r="V48" i="2"/>
  <c r="V45" i="2"/>
  <c r="V42" i="2"/>
  <c r="V39" i="2"/>
  <c r="V36" i="2"/>
  <c r="V33" i="2"/>
  <c r="V30" i="2"/>
  <c r="V27" i="2"/>
  <c r="V24" i="2"/>
  <c r="V21" i="2"/>
  <c r="V18" i="2"/>
  <c r="V15" i="2"/>
  <c r="V12" i="2"/>
  <c r="V9" i="2"/>
  <c r="S57" i="2"/>
  <c r="S54" i="2"/>
  <c r="S51" i="2"/>
  <c r="S48" i="2"/>
  <c r="S45" i="2"/>
  <c r="S42" i="2"/>
  <c r="S39" i="2"/>
  <c r="S36" i="2"/>
  <c r="S33" i="2"/>
  <c r="S30" i="2"/>
  <c r="S27" i="2"/>
  <c r="S24" i="2"/>
  <c r="S21" i="2"/>
  <c r="S18" i="2"/>
  <c r="S15" i="2"/>
  <c r="S12" i="2"/>
  <c r="S9" i="2"/>
  <c r="P57" i="2"/>
  <c r="P54" i="2"/>
  <c r="P51" i="2"/>
  <c r="P48" i="2"/>
  <c r="P45" i="2"/>
  <c r="P42" i="2"/>
  <c r="P39" i="2"/>
  <c r="P36" i="2"/>
  <c r="P33" i="2"/>
  <c r="P30" i="2"/>
  <c r="P27" i="2"/>
  <c r="P24" i="2"/>
  <c r="P21" i="2"/>
  <c r="P18" i="2"/>
  <c r="P15" i="2"/>
  <c r="P12" i="2"/>
  <c r="P9" i="2"/>
  <c r="M57" i="2"/>
  <c r="M54" i="2"/>
  <c r="M51" i="2"/>
  <c r="M48" i="2"/>
  <c r="M45" i="2"/>
  <c r="M42" i="2"/>
  <c r="M39" i="2"/>
  <c r="M36" i="2"/>
  <c r="M33" i="2"/>
  <c r="M30" i="2"/>
  <c r="M27" i="2"/>
  <c r="M24" i="2"/>
  <c r="M21" i="2"/>
  <c r="M18" i="2"/>
  <c r="M15" i="2"/>
  <c r="M12" i="2"/>
  <c r="M9" i="2"/>
  <c r="J57" i="2"/>
  <c r="J54" i="2"/>
  <c r="J51" i="2"/>
  <c r="J48" i="2"/>
  <c r="J45" i="2"/>
  <c r="J42" i="2"/>
  <c r="J39" i="2"/>
  <c r="J36" i="2"/>
  <c r="J33" i="2"/>
  <c r="J30" i="2"/>
  <c r="J27" i="2"/>
  <c r="J24" i="2"/>
  <c r="J21" i="2"/>
  <c r="J18" i="2"/>
  <c r="J15" i="2"/>
  <c r="J12" i="2"/>
  <c r="J9" i="2"/>
  <c r="G57" i="2"/>
  <c r="G54" i="2"/>
  <c r="G51" i="2"/>
  <c r="G48" i="2"/>
  <c r="G45" i="2"/>
  <c r="G42" i="2"/>
  <c r="G39" i="2"/>
  <c r="G36" i="2"/>
  <c r="G33" i="2"/>
  <c r="G30" i="2"/>
  <c r="G27" i="2"/>
  <c r="G24" i="2"/>
  <c r="G21" i="2"/>
  <c r="G18" i="2"/>
  <c r="G15" i="2"/>
  <c r="G12" i="2"/>
  <c r="G9" i="2"/>
  <c r="D57" i="9"/>
  <c r="D56" i="9"/>
  <c r="D54" i="9"/>
  <c r="D53" i="9"/>
  <c r="D51" i="9"/>
  <c r="D50" i="9"/>
  <c r="D48" i="9"/>
  <c r="D47" i="9"/>
  <c r="D45" i="9"/>
  <c r="D44" i="9"/>
  <c r="D42" i="9"/>
  <c r="D41" i="9"/>
  <c r="D39" i="9"/>
  <c r="D38" i="9"/>
  <c r="D36" i="9"/>
  <c r="D35" i="9"/>
  <c r="D33" i="9"/>
  <c r="D32" i="9"/>
  <c r="D30" i="9"/>
  <c r="D29" i="9"/>
  <c r="D27" i="9"/>
  <c r="D26" i="9"/>
  <c r="D24" i="9"/>
  <c r="D23" i="9"/>
  <c r="D21" i="9"/>
  <c r="D20" i="9"/>
  <c r="D18" i="9"/>
  <c r="D17" i="9"/>
  <c r="D15" i="9"/>
  <c r="D14" i="9"/>
  <c r="D12" i="9"/>
  <c r="D11" i="9"/>
  <c r="D9" i="9"/>
  <c r="D8" i="9"/>
  <c r="D57" i="8"/>
  <c r="D54" i="8"/>
  <c r="D51" i="8"/>
  <c r="D48" i="8"/>
  <c r="D45" i="8"/>
  <c r="D42" i="8"/>
  <c r="D39" i="8"/>
  <c r="D36" i="8"/>
  <c r="D35" i="8"/>
  <c r="D33" i="8"/>
  <c r="D30" i="8"/>
  <c r="D27" i="8"/>
  <c r="D24" i="8"/>
  <c r="D21" i="8"/>
  <c r="D18" i="8"/>
  <c r="D15" i="8"/>
  <c r="D12" i="8"/>
  <c r="D11" i="8"/>
  <c r="D9" i="8"/>
  <c r="D57" i="7"/>
  <c r="D54" i="7"/>
  <c r="D51" i="7"/>
  <c r="D48" i="7"/>
  <c r="D45" i="7"/>
  <c r="D42" i="7"/>
  <c r="D39" i="7"/>
  <c r="D36" i="7"/>
  <c r="D35" i="7"/>
  <c r="D33" i="7"/>
  <c r="D30" i="7"/>
  <c r="D27" i="7"/>
  <c r="D24" i="7"/>
  <c r="D21" i="7"/>
  <c r="D18" i="7"/>
  <c r="D15" i="7"/>
  <c r="D12" i="7"/>
  <c r="D11" i="7"/>
  <c r="D9" i="7"/>
  <c r="D57" i="6"/>
  <c r="D54" i="6"/>
  <c r="D51" i="6"/>
  <c r="D48" i="6"/>
  <c r="D45" i="6"/>
  <c r="D42" i="6"/>
  <c r="D39" i="6"/>
  <c r="D36" i="6"/>
  <c r="D35" i="6"/>
  <c r="D33" i="6"/>
  <c r="D30" i="6"/>
  <c r="D27" i="6"/>
  <c r="D24" i="6"/>
  <c r="D21" i="6"/>
  <c r="D18" i="6"/>
  <c r="D15" i="6"/>
  <c r="D12" i="6"/>
  <c r="D11" i="6"/>
  <c r="D9" i="6"/>
  <c r="D57" i="5"/>
  <c r="D54" i="5"/>
  <c r="D51" i="5"/>
  <c r="D48" i="5"/>
  <c r="D45" i="5"/>
  <c r="D42" i="5"/>
  <c r="D39" i="5"/>
  <c r="D36" i="5"/>
  <c r="D35" i="5"/>
  <c r="D33" i="5"/>
  <c r="D30" i="5"/>
  <c r="D27" i="5"/>
  <c r="D24" i="5"/>
  <c r="D21" i="5"/>
  <c r="D18" i="5"/>
  <c r="D15" i="5"/>
  <c r="D12" i="5"/>
  <c r="D11" i="5"/>
  <c r="D9" i="5"/>
  <c r="D57" i="4"/>
  <c r="D54" i="4"/>
  <c r="D51" i="4"/>
  <c r="D48" i="4"/>
  <c r="D45" i="4"/>
  <c r="D42" i="4"/>
  <c r="D39" i="4"/>
  <c r="D36" i="4"/>
  <c r="D35" i="4"/>
  <c r="D33" i="4"/>
  <c r="D30" i="4"/>
  <c r="D27" i="4"/>
  <c r="D24" i="4"/>
  <c r="D21" i="4"/>
  <c r="D18" i="4"/>
  <c r="D15" i="4"/>
  <c r="D12" i="4"/>
  <c r="D11" i="4"/>
  <c r="D9" i="4"/>
  <c r="D57" i="2"/>
  <c r="D54" i="2"/>
  <c r="D57" i="3"/>
  <c r="D56" i="3"/>
  <c r="D54" i="3"/>
  <c r="D53" i="3"/>
  <c r="D51" i="3"/>
  <c r="D50" i="3"/>
  <c r="D48" i="3"/>
  <c r="D47" i="3"/>
  <c r="D45" i="3"/>
  <c r="D44" i="3"/>
  <c r="D42" i="3"/>
  <c r="D41" i="3"/>
  <c r="D39" i="3"/>
  <c r="D38" i="3"/>
  <c r="D36" i="3"/>
  <c r="D35" i="3"/>
  <c r="D33" i="3"/>
  <c r="D32" i="3"/>
  <c r="D30" i="3"/>
  <c r="D29" i="3"/>
  <c r="D27" i="3"/>
  <c r="D26" i="3"/>
  <c r="D24" i="3"/>
  <c r="D23" i="3"/>
  <c r="D21" i="3"/>
  <c r="D20" i="3"/>
  <c r="D18" i="3"/>
  <c r="D17" i="3"/>
  <c r="D15" i="3"/>
  <c r="D14" i="3"/>
  <c r="D12" i="3"/>
  <c r="D11" i="3"/>
  <c r="D9" i="3"/>
  <c r="D8" i="3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B58" i="9"/>
  <c r="AB57" i="9"/>
  <c r="AB56" i="9"/>
  <c r="AB55" i="9"/>
  <c r="AB54" i="9"/>
  <c r="AB53" i="9"/>
  <c r="AB52" i="9"/>
  <c r="AB51" i="9"/>
  <c r="AB50" i="9"/>
  <c r="AB49" i="9"/>
  <c r="AB48" i="9"/>
  <c r="AB47" i="9"/>
  <c r="AB46" i="9"/>
  <c r="AB45" i="9"/>
  <c r="AB44" i="9"/>
  <c r="AB43" i="9"/>
  <c r="AB42" i="9"/>
  <c r="AB41" i="9"/>
  <c r="AB40" i="9"/>
  <c r="AB39" i="9"/>
  <c r="AB38" i="9"/>
  <c r="AB37" i="9"/>
  <c r="AB36" i="9"/>
  <c r="AB35" i="9"/>
  <c r="AB34" i="9"/>
  <c r="AB33" i="9"/>
  <c r="AB32" i="9"/>
  <c r="AB31" i="9"/>
  <c r="AB30" i="9"/>
  <c r="AB29" i="9"/>
  <c r="AB28" i="9"/>
  <c r="AB27" i="9"/>
  <c r="AB26" i="9"/>
  <c r="AB25" i="9"/>
  <c r="AB24" i="9"/>
  <c r="AB23" i="9"/>
  <c r="AB22" i="9"/>
  <c r="AB21" i="9"/>
  <c r="AB20" i="9"/>
  <c r="AB19" i="9"/>
  <c r="AB18" i="9"/>
  <c r="AB17" i="9"/>
  <c r="AB16" i="9"/>
  <c r="AB15" i="9"/>
  <c r="AB14" i="9"/>
  <c r="AB13" i="9"/>
  <c r="AB12" i="9"/>
  <c r="AB11" i="9"/>
  <c r="AB10" i="9"/>
  <c r="AB9" i="9"/>
  <c r="AB8" i="9"/>
  <c r="Z58" i="9"/>
  <c r="Z57" i="9"/>
  <c r="Z56" i="9"/>
  <c r="Z55" i="9"/>
  <c r="Z54" i="9"/>
  <c r="Z53" i="9"/>
  <c r="Z52" i="9"/>
  <c r="Z51" i="9"/>
  <c r="Z50" i="9"/>
  <c r="Z49" i="9"/>
  <c r="Z48" i="9"/>
  <c r="Z47" i="9"/>
  <c r="Z46" i="9"/>
  <c r="Z45" i="9"/>
  <c r="Z44" i="9"/>
  <c r="Z43" i="9"/>
  <c r="Z42" i="9"/>
  <c r="Z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AD58" i="8"/>
  <c r="AD57" i="8"/>
  <c r="AD56" i="8"/>
  <c r="AD55" i="8"/>
  <c r="AD54" i="8"/>
  <c r="AD53" i="8"/>
  <c r="AD52" i="8"/>
  <c r="AD51" i="8"/>
  <c r="AD50" i="8"/>
  <c r="AD49" i="8"/>
  <c r="AD48" i="8"/>
  <c r="AD4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D26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B58" i="8"/>
  <c r="AB57" i="8"/>
  <c r="AB56" i="8"/>
  <c r="AB55" i="8"/>
  <c r="AB54" i="8"/>
  <c r="AB53" i="8"/>
  <c r="AB52" i="8"/>
  <c r="AB51" i="8"/>
  <c r="AB50" i="8"/>
  <c r="AB49" i="8"/>
  <c r="AB48" i="8"/>
  <c r="AB4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Z58" i="8"/>
  <c r="Z57" i="8"/>
  <c r="Z56" i="8"/>
  <c r="Z55" i="8"/>
  <c r="Z54" i="8"/>
  <c r="Z53" i="8"/>
  <c r="Z52" i="8"/>
  <c r="Z51" i="8"/>
  <c r="Z50" i="8"/>
  <c r="Z49" i="8"/>
  <c r="Z48" i="8"/>
  <c r="Z4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Z26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V58" i="8"/>
  <c r="V57" i="8"/>
  <c r="V56" i="8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P58" i="8"/>
  <c r="P57" i="8"/>
  <c r="P56" i="8"/>
  <c r="P55" i="8"/>
  <c r="P54" i="8"/>
  <c r="P53" i="8"/>
  <c r="P52" i="8"/>
  <c r="P51" i="8"/>
  <c r="P50" i="8"/>
  <c r="P49" i="8"/>
  <c r="P48" i="8"/>
  <c r="P4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P26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AD58" i="7"/>
  <c r="AD57" i="7"/>
  <c r="AD56" i="7"/>
  <c r="AD55" i="7"/>
  <c r="AD54" i="7"/>
  <c r="AD53" i="7"/>
  <c r="AD52" i="7"/>
  <c r="AD51" i="7"/>
  <c r="AD50" i="7"/>
  <c r="AD49" i="7"/>
  <c r="AD48" i="7"/>
  <c r="AD47" i="7"/>
  <c r="AD46" i="7"/>
  <c r="AD45" i="7"/>
  <c r="AD44" i="7"/>
  <c r="AD43" i="7"/>
  <c r="AD42" i="7"/>
  <c r="AD41" i="7"/>
  <c r="AD40" i="7"/>
  <c r="AD39" i="7"/>
  <c r="AD38" i="7"/>
  <c r="AD37" i="7"/>
  <c r="AD36" i="7"/>
  <c r="AD35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D13" i="7"/>
  <c r="AD12" i="7"/>
  <c r="AD11" i="7"/>
  <c r="AD10" i="7"/>
  <c r="AD9" i="7"/>
  <c r="AD8" i="7"/>
  <c r="AB58" i="7"/>
  <c r="AB57" i="7"/>
  <c r="AB56" i="7"/>
  <c r="AB55" i="7"/>
  <c r="AB54" i="7"/>
  <c r="AB53" i="7"/>
  <c r="AB52" i="7"/>
  <c r="AB51" i="7"/>
  <c r="AB50" i="7"/>
  <c r="AB49" i="7"/>
  <c r="AB48" i="7"/>
  <c r="AB47" i="7"/>
  <c r="AB46" i="7"/>
  <c r="AB45" i="7"/>
  <c r="AB44" i="7"/>
  <c r="AB43" i="7"/>
  <c r="AB42" i="7"/>
  <c r="AB41" i="7"/>
  <c r="AB40" i="7"/>
  <c r="AB39" i="7"/>
  <c r="AB38" i="7"/>
  <c r="AB37" i="7"/>
  <c r="AB36" i="7"/>
  <c r="AB35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AB13" i="7"/>
  <c r="AB12" i="7"/>
  <c r="AB11" i="7"/>
  <c r="AB10" i="7"/>
  <c r="AB9" i="7"/>
  <c r="AB8" i="7"/>
  <c r="Z58" i="7"/>
  <c r="Z57" i="7"/>
  <c r="Z56" i="7"/>
  <c r="Z55" i="7"/>
  <c r="Z54" i="7"/>
  <c r="Z53" i="7"/>
  <c r="Z52" i="7"/>
  <c r="Z51" i="7"/>
  <c r="Z50" i="7"/>
  <c r="Z49" i="7"/>
  <c r="Z48" i="7"/>
  <c r="Z47" i="7"/>
  <c r="Z46" i="7"/>
  <c r="Z45" i="7"/>
  <c r="Z44" i="7"/>
  <c r="Z43" i="7"/>
  <c r="Z42" i="7"/>
  <c r="Z41" i="7"/>
  <c r="Z40" i="7"/>
  <c r="Z39" i="7"/>
  <c r="Z38" i="7"/>
  <c r="Z37" i="7"/>
  <c r="Z36" i="7"/>
  <c r="Z35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Z13" i="7"/>
  <c r="Z12" i="7"/>
  <c r="Z11" i="7"/>
  <c r="Z10" i="7"/>
  <c r="Z9" i="7"/>
  <c r="Z8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V58" i="7"/>
  <c r="V57" i="7"/>
  <c r="V5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V35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R58" i="7"/>
  <c r="R57" i="7"/>
  <c r="R5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P58" i="7"/>
  <c r="P57" i="7"/>
  <c r="P5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P35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AD42" i="6"/>
  <c r="AD41" i="6"/>
  <c r="AD40" i="6"/>
  <c r="AD39" i="6"/>
  <c r="AD38" i="6"/>
  <c r="AD37" i="6"/>
  <c r="AD36" i="6"/>
  <c r="AD35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D13" i="6"/>
  <c r="AD12" i="6"/>
  <c r="AD11" i="6"/>
  <c r="AD10" i="6"/>
  <c r="AD9" i="6"/>
  <c r="AD8" i="6"/>
  <c r="AB58" i="6"/>
  <c r="AB57" i="6"/>
  <c r="AB56" i="6"/>
  <c r="AB55" i="6"/>
  <c r="AB54" i="6"/>
  <c r="AB53" i="6"/>
  <c r="AB52" i="6"/>
  <c r="AB51" i="6"/>
  <c r="AB50" i="6"/>
  <c r="AB49" i="6"/>
  <c r="AB48" i="6"/>
  <c r="AB47" i="6"/>
  <c r="AB46" i="6"/>
  <c r="AB45" i="6"/>
  <c r="AB44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AB13" i="6"/>
  <c r="AB12" i="6"/>
  <c r="AB11" i="6"/>
  <c r="AB10" i="6"/>
  <c r="AB9" i="6"/>
  <c r="AB8" i="6"/>
  <c r="Z58" i="6"/>
  <c r="Z57" i="6"/>
  <c r="Z5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Z35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Z13" i="6"/>
  <c r="Z12" i="6"/>
  <c r="Z11" i="6"/>
  <c r="Z10" i="6"/>
  <c r="Z9" i="6"/>
  <c r="Z8" i="6"/>
  <c r="X58" i="6"/>
  <c r="X57" i="6"/>
  <c r="X56" i="6"/>
  <c r="X55" i="6"/>
  <c r="X54" i="6"/>
  <c r="X53" i="6"/>
  <c r="X52" i="6"/>
  <c r="X51" i="6"/>
  <c r="X50" i="6"/>
  <c r="X49" i="6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X13" i="6"/>
  <c r="X12" i="6"/>
  <c r="X11" i="6"/>
  <c r="X10" i="6"/>
  <c r="X9" i="6"/>
  <c r="X8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8" i="5"/>
  <c r="AB37" i="5"/>
  <c r="AB36" i="5"/>
  <c r="AB35" i="5"/>
  <c r="AB34" i="5"/>
  <c r="AB33" i="5"/>
  <c r="AB32" i="5"/>
  <c r="AB31" i="5"/>
  <c r="AB30" i="5"/>
  <c r="AB29" i="5"/>
  <c r="AB28" i="5"/>
  <c r="AB27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Z58" i="5"/>
  <c r="Z57" i="5"/>
  <c r="Z56" i="5"/>
  <c r="Z55" i="5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Z25" i="5"/>
  <c r="Z24" i="5"/>
  <c r="Z23" i="5"/>
  <c r="Z22" i="5"/>
  <c r="Z21" i="5"/>
  <c r="Z20" i="5"/>
  <c r="Z19" i="5"/>
  <c r="Z18" i="5"/>
  <c r="Z17" i="5"/>
  <c r="Z16" i="5"/>
  <c r="Z15" i="5"/>
  <c r="Z14" i="5"/>
  <c r="Z13" i="5"/>
  <c r="Z12" i="5"/>
  <c r="Z11" i="5"/>
  <c r="Z10" i="5"/>
  <c r="Z9" i="5"/>
  <c r="Z8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12" i="5"/>
  <c r="X11" i="5"/>
  <c r="X10" i="5"/>
  <c r="X9" i="5"/>
  <c r="X8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T58" i="5"/>
  <c r="T57" i="5"/>
  <c r="T56" i="5"/>
  <c r="T55" i="5"/>
  <c r="T54" i="5"/>
  <c r="T53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AD58" i="4"/>
  <c r="AD57" i="4"/>
  <c r="AD56" i="4"/>
  <c r="AD55" i="4"/>
  <c r="AD54" i="4"/>
  <c r="AD53" i="4"/>
  <c r="AD52" i="4"/>
  <c r="AD51" i="4"/>
  <c r="AD50" i="4"/>
  <c r="AD49" i="4"/>
  <c r="AD48" i="4"/>
  <c r="AD47" i="4"/>
  <c r="AD46" i="4"/>
  <c r="AD45" i="4"/>
  <c r="AD44" i="4"/>
  <c r="AD43" i="4"/>
  <c r="AD42" i="4"/>
  <c r="AD41" i="4"/>
  <c r="AD40" i="4"/>
  <c r="AD39" i="4"/>
  <c r="AD38" i="4"/>
  <c r="AD37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AD13" i="4"/>
  <c r="AD12" i="4"/>
  <c r="AD11" i="4"/>
  <c r="AD10" i="4"/>
  <c r="AD9" i="4"/>
  <c r="AD8" i="4"/>
  <c r="AB58" i="4"/>
  <c r="AB57" i="4"/>
  <c r="AB56" i="4"/>
  <c r="AB55" i="4"/>
  <c r="AB54" i="4"/>
  <c r="AB53" i="4"/>
  <c r="AB52" i="4"/>
  <c r="AB51" i="4"/>
  <c r="AB50" i="4"/>
  <c r="AB49" i="4"/>
  <c r="AB48" i="4"/>
  <c r="AB47" i="4"/>
  <c r="AB46" i="4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B13" i="4"/>
  <c r="AB12" i="4"/>
  <c r="AB11" i="4"/>
  <c r="AB10" i="4"/>
  <c r="AB9" i="4"/>
  <c r="AB8" i="4"/>
  <c r="Z58" i="4"/>
  <c r="Z57" i="4"/>
  <c r="Z56" i="4"/>
  <c r="Z55" i="4"/>
  <c r="Z54" i="4"/>
  <c r="Z53" i="4"/>
  <c r="Z52" i="4"/>
  <c r="Z51" i="4"/>
  <c r="Z50" i="4"/>
  <c r="Z49" i="4"/>
  <c r="Z48" i="4"/>
  <c r="Z47" i="4"/>
  <c r="Z46" i="4"/>
  <c r="Z45" i="4"/>
  <c r="Z44" i="4"/>
  <c r="Z43" i="4"/>
  <c r="Z42" i="4"/>
  <c r="Z41" i="4"/>
  <c r="Z40" i="4"/>
  <c r="Z39" i="4"/>
  <c r="Z38" i="4"/>
  <c r="Z37" i="4"/>
  <c r="Z36" i="4"/>
  <c r="Z35" i="4"/>
  <c r="Z34" i="4"/>
  <c r="Z33" i="4"/>
  <c r="Z32" i="4"/>
  <c r="Z31" i="4"/>
  <c r="Z30" i="4"/>
  <c r="Z29" i="4"/>
  <c r="Z28" i="4"/>
  <c r="Z27" i="4"/>
  <c r="Z26" i="4"/>
  <c r="Z25" i="4"/>
  <c r="Z24" i="4"/>
  <c r="Z23" i="4"/>
  <c r="Z22" i="4"/>
  <c r="Z21" i="4"/>
  <c r="Z20" i="4"/>
  <c r="Z19" i="4"/>
  <c r="Z18" i="4"/>
  <c r="Z17" i="4"/>
  <c r="Z16" i="4"/>
  <c r="Z15" i="4"/>
  <c r="Z14" i="4"/>
  <c r="Z13" i="4"/>
  <c r="Z12" i="4"/>
  <c r="Z11" i="4"/>
  <c r="Z10" i="4"/>
  <c r="Z9" i="4"/>
  <c r="Z8" i="4"/>
  <c r="X58" i="4"/>
  <c r="X57" i="4"/>
  <c r="X56" i="4"/>
  <c r="X55" i="4"/>
  <c r="X54" i="4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B58" i="3"/>
  <c r="AB57" i="3"/>
  <c r="AB56" i="3"/>
  <c r="AB55" i="3"/>
  <c r="AB54" i="3"/>
  <c r="AB53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Z58" i="3"/>
  <c r="Z57" i="3"/>
  <c r="Z56" i="3"/>
  <c r="Z55" i="3"/>
  <c r="Z54" i="3"/>
  <c r="Z53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AP58" i="2"/>
  <c r="AP57" i="2"/>
  <c r="AP56" i="2"/>
  <c r="AQ56" i="2" s="1"/>
  <c r="AP55" i="2"/>
  <c r="AP54" i="2"/>
  <c r="AP53" i="2"/>
  <c r="AQ53" i="2" s="1"/>
  <c r="AP52" i="2"/>
  <c r="AP51" i="2"/>
  <c r="AP50" i="2"/>
  <c r="AQ50" i="2" s="1"/>
  <c r="AP49" i="2"/>
  <c r="AP48" i="2"/>
  <c r="AP47" i="2"/>
  <c r="AP46" i="2"/>
  <c r="AP45" i="2"/>
  <c r="AP44" i="2"/>
  <c r="AQ44" i="2" s="1"/>
  <c r="AP43" i="2"/>
  <c r="AP42" i="2"/>
  <c r="AP41" i="2"/>
  <c r="AQ41" i="2" s="1"/>
  <c r="AP40" i="2"/>
  <c r="AP39" i="2"/>
  <c r="AP38" i="2"/>
  <c r="AQ38" i="2" s="1"/>
  <c r="AP37" i="2"/>
  <c r="AP36" i="2"/>
  <c r="AP35" i="2"/>
  <c r="AP34" i="2"/>
  <c r="AP33" i="2"/>
  <c r="AP32" i="2"/>
  <c r="AQ32" i="2" s="1"/>
  <c r="AP31" i="2"/>
  <c r="AP30" i="2"/>
  <c r="AP29" i="2"/>
  <c r="AQ29" i="2" s="1"/>
  <c r="AP28" i="2"/>
  <c r="AP27" i="2"/>
  <c r="AP26" i="2"/>
  <c r="AQ26" i="2" s="1"/>
  <c r="AP25" i="2"/>
  <c r="AP24" i="2"/>
  <c r="AP23" i="2"/>
  <c r="AP22" i="2"/>
  <c r="AP21" i="2"/>
  <c r="AP20" i="2"/>
  <c r="AQ20" i="2" s="1"/>
  <c r="AP19" i="2"/>
  <c r="AP18" i="2"/>
  <c r="AP17" i="2"/>
  <c r="AQ17" i="2" s="1"/>
  <c r="AP16" i="2"/>
  <c r="AP15" i="2"/>
  <c r="AP14" i="2"/>
  <c r="AQ14" i="2" s="1"/>
  <c r="AP13" i="2"/>
  <c r="AP12" i="2"/>
  <c r="AP11" i="2"/>
  <c r="AP10" i="2"/>
  <c r="AP9" i="2"/>
  <c r="AP8" i="2"/>
  <c r="AQ8" i="2" s="1"/>
  <c r="AM58" i="2"/>
  <c r="AM57" i="2"/>
  <c r="AM56" i="2"/>
  <c r="AN56" i="2" s="1"/>
  <c r="AM55" i="2"/>
  <c r="AM54" i="2"/>
  <c r="AM53" i="2"/>
  <c r="AN53" i="2" s="1"/>
  <c r="AM52" i="2"/>
  <c r="AM51" i="2"/>
  <c r="AM50" i="2"/>
  <c r="AN50" i="2" s="1"/>
  <c r="AM49" i="2"/>
  <c r="AM48" i="2"/>
  <c r="AM47" i="2"/>
  <c r="AM46" i="2"/>
  <c r="AM45" i="2"/>
  <c r="AM44" i="2"/>
  <c r="AN44" i="2" s="1"/>
  <c r="AM43" i="2"/>
  <c r="AM42" i="2"/>
  <c r="AM41" i="2"/>
  <c r="AN41" i="2" s="1"/>
  <c r="AM40" i="2"/>
  <c r="AM39" i="2"/>
  <c r="AM38" i="2"/>
  <c r="AN38" i="2" s="1"/>
  <c r="AM37" i="2"/>
  <c r="AM36" i="2"/>
  <c r="AM35" i="2"/>
  <c r="AN35" i="2" s="1"/>
  <c r="AM34" i="2"/>
  <c r="AM33" i="2"/>
  <c r="AM32" i="2"/>
  <c r="AN32" i="2" s="1"/>
  <c r="AM31" i="2"/>
  <c r="AM30" i="2"/>
  <c r="AM29" i="2"/>
  <c r="AN29" i="2" s="1"/>
  <c r="AM28" i="2"/>
  <c r="AM27" i="2"/>
  <c r="AM26" i="2"/>
  <c r="AN26" i="2" s="1"/>
  <c r="AM25" i="2"/>
  <c r="AM24" i="2"/>
  <c r="AM23" i="2"/>
  <c r="AN23" i="2" s="1"/>
  <c r="AM22" i="2"/>
  <c r="AM21" i="2"/>
  <c r="AM20" i="2"/>
  <c r="AN20" i="2" s="1"/>
  <c r="AM19" i="2"/>
  <c r="AM18" i="2"/>
  <c r="AM17" i="2"/>
  <c r="AN17" i="2" s="1"/>
  <c r="AM16" i="2"/>
  <c r="AM15" i="2"/>
  <c r="AM14" i="2"/>
  <c r="AN14" i="2" s="1"/>
  <c r="AM13" i="2"/>
  <c r="AM12" i="2"/>
  <c r="AM11" i="2"/>
  <c r="AM10" i="2"/>
  <c r="AM9" i="2"/>
  <c r="AM8" i="2"/>
  <c r="AN8" i="2" s="1"/>
  <c r="AJ58" i="2"/>
  <c r="AJ57" i="2"/>
  <c r="AJ56" i="2"/>
  <c r="AK56" i="2" s="1"/>
  <c r="AJ55" i="2"/>
  <c r="AJ54" i="2"/>
  <c r="AJ53" i="2"/>
  <c r="AK53" i="2" s="1"/>
  <c r="AJ52" i="2"/>
  <c r="AJ51" i="2"/>
  <c r="AJ50" i="2"/>
  <c r="AK50" i="2" s="1"/>
  <c r="AJ49" i="2"/>
  <c r="AJ48" i="2"/>
  <c r="AJ47" i="2"/>
  <c r="AK47" i="2" s="1"/>
  <c r="AJ46" i="2"/>
  <c r="AJ45" i="2"/>
  <c r="AJ44" i="2"/>
  <c r="AK44" i="2" s="1"/>
  <c r="AJ43" i="2"/>
  <c r="AJ42" i="2"/>
  <c r="AJ41" i="2"/>
  <c r="AK41" i="2" s="1"/>
  <c r="AJ40" i="2"/>
  <c r="AJ39" i="2"/>
  <c r="AJ38" i="2"/>
  <c r="AK38" i="2" s="1"/>
  <c r="AJ37" i="2"/>
  <c r="AJ36" i="2"/>
  <c r="AJ35" i="2"/>
  <c r="AK35" i="2" s="1"/>
  <c r="AJ34" i="2"/>
  <c r="AJ33" i="2"/>
  <c r="AJ32" i="2"/>
  <c r="AK32" i="2" s="1"/>
  <c r="AJ31" i="2"/>
  <c r="AJ30" i="2"/>
  <c r="AJ29" i="2"/>
  <c r="AK29" i="2" s="1"/>
  <c r="AJ28" i="2"/>
  <c r="AJ27" i="2"/>
  <c r="AJ26" i="2"/>
  <c r="AK26" i="2" s="1"/>
  <c r="AJ25" i="2"/>
  <c r="AJ24" i="2"/>
  <c r="AJ23" i="2"/>
  <c r="AK23" i="2" s="1"/>
  <c r="AJ22" i="2"/>
  <c r="AJ21" i="2"/>
  <c r="AJ20" i="2"/>
  <c r="AK20" i="2" s="1"/>
  <c r="AJ19" i="2"/>
  <c r="AJ18" i="2"/>
  <c r="AJ17" i="2"/>
  <c r="AK17" i="2" s="1"/>
  <c r="AJ16" i="2"/>
  <c r="AJ15" i="2"/>
  <c r="AJ14" i="2"/>
  <c r="AK14" i="2" s="1"/>
  <c r="AJ13" i="2"/>
  <c r="AJ12" i="2"/>
  <c r="AJ11" i="2"/>
  <c r="AK11" i="2" s="1"/>
  <c r="AJ10" i="2"/>
  <c r="AJ9" i="2"/>
  <c r="AJ8" i="2"/>
  <c r="AK8" i="2" s="1"/>
  <c r="AG58" i="2"/>
  <c r="AG57" i="2"/>
  <c r="AG56" i="2"/>
  <c r="AH56" i="2" s="1"/>
  <c r="AG55" i="2"/>
  <c r="AG54" i="2"/>
  <c r="AG53" i="2"/>
  <c r="AH53" i="2" s="1"/>
  <c r="AG52" i="2"/>
  <c r="AG51" i="2"/>
  <c r="AG50" i="2"/>
  <c r="AH50" i="2" s="1"/>
  <c r="AG49" i="2"/>
  <c r="AG48" i="2"/>
  <c r="AG47" i="2"/>
  <c r="AH47" i="2" s="1"/>
  <c r="AG46" i="2"/>
  <c r="AG45" i="2"/>
  <c r="AG44" i="2"/>
  <c r="AH44" i="2" s="1"/>
  <c r="AG43" i="2"/>
  <c r="AG42" i="2"/>
  <c r="AG41" i="2"/>
  <c r="AH41" i="2" s="1"/>
  <c r="AG40" i="2"/>
  <c r="AG39" i="2"/>
  <c r="AG38" i="2"/>
  <c r="AH38" i="2" s="1"/>
  <c r="AG37" i="2"/>
  <c r="AG36" i="2"/>
  <c r="AG35" i="2"/>
  <c r="AH35" i="2" s="1"/>
  <c r="AG34" i="2"/>
  <c r="AG33" i="2"/>
  <c r="AG32" i="2"/>
  <c r="AH32" i="2" s="1"/>
  <c r="AG31" i="2"/>
  <c r="AG30" i="2"/>
  <c r="AG29" i="2"/>
  <c r="AH29" i="2" s="1"/>
  <c r="AG28" i="2"/>
  <c r="AG27" i="2"/>
  <c r="AG26" i="2"/>
  <c r="AH26" i="2" s="1"/>
  <c r="AG25" i="2"/>
  <c r="AG24" i="2"/>
  <c r="AG23" i="2"/>
  <c r="AH23" i="2" s="1"/>
  <c r="AG22" i="2"/>
  <c r="AG21" i="2"/>
  <c r="AG20" i="2"/>
  <c r="AH20" i="2" s="1"/>
  <c r="AG19" i="2"/>
  <c r="AG18" i="2"/>
  <c r="AG17" i="2"/>
  <c r="AH17" i="2" s="1"/>
  <c r="AG16" i="2"/>
  <c r="AG15" i="2"/>
  <c r="AG14" i="2"/>
  <c r="AH14" i="2" s="1"/>
  <c r="AG13" i="2"/>
  <c r="AG12" i="2"/>
  <c r="AG11" i="2"/>
  <c r="AH11" i="2" s="1"/>
  <c r="AG10" i="2"/>
  <c r="AG9" i="2"/>
  <c r="AG8" i="2"/>
  <c r="AH8" i="2" s="1"/>
  <c r="AD58" i="2"/>
  <c r="AD57" i="2"/>
  <c r="AD56" i="2"/>
  <c r="AE56" i="2" s="1"/>
  <c r="AD55" i="2"/>
  <c r="AD54" i="2"/>
  <c r="AD53" i="2"/>
  <c r="AE53" i="2" s="1"/>
  <c r="AD52" i="2"/>
  <c r="AD51" i="2"/>
  <c r="AD50" i="2"/>
  <c r="AE50" i="2" s="1"/>
  <c r="AD49" i="2"/>
  <c r="AD48" i="2"/>
  <c r="AD47" i="2"/>
  <c r="AE47" i="2" s="1"/>
  <c r="AD46" i="2"/>
  <c r="AD45" i="2"/>
  <c r="AD44" i="2"/>
  <c r="AE44" i="2" s="1"/>
  <c r="AD43" i="2"/>
  <c r="AD42" i="2"/>
  <c r="AD41" i="2"/>
  <c r="AE41" i="2" s="1"/>
  <c r="AD40" i="2"/>
  <c r="AD39" i="2"/>
  <c r="AD38" i="2"/>
  <c r="AE38" i="2" s="1"/>
  <c r="AD37" i="2"/>
  <c r="AD36" i="2"/>
  <c r="AD35" i="2"/>
  <c r="AE35" i="2" s="1"/>
  <c r="AD34" i="2"/>
  <c r="AD33" i="2"/>
  <c r="AD32" i="2"/>
  <c r="AE32" i="2" s="1"/>
  <c r="AD31" i="2"/>
  <c r="AD30" i="2"/>
  <c r="AD29" i="2"/>
  <c r="AE29" i="2" s="1"/>
  <c r="AD28" i="2"/>
  <c r="AD27" i="2"/>
  <c r="AD26" i="2"/>
  <c r="AE26" i="2" s="1"/>
  <c r="AD25" i="2"/>
  <c r="AD24" i="2"/>
  <c r="AD23" i="2"/>
  <c r="AE23" i="2" s="1"/>
  <c r="AD22" i="2"/>
  <c r="AD21" i="2"/>
  <c r="AD20" i="2"/>
  <c r="AE20" i="2" s="1"/>
  <c r="AD19" i="2"/>
  <c r="AD18" i="2"/>
  <c r="AD17" i="2"/>
  <c r="AE17" i="2" s="1"/>
  <c r="AD16" i="2"/>
  <c r="AD15" i="2"/>
  <c r="AD14" i="2"/>
  <c r="AE14" i="2" s="1"/>
  <c r="AD13" i="2"/>
  <c r="AD12" i="2"/>
  <c r="AD11" i="2"/>
  <c r="AE11" i="2" s="1"/>
  <c r="AD10" i="2"/>
  <c r="AD9" i="2"/>
  <c r="AD8" i="2"/>
  <c r="AE8" i="2" s="1"/>
  <c r="AA58" i="2"/>
  <c r="AA57" i="2"/>
  <c r="AA56" i="2"/>
  <c r="AB56" i="2" s="1"/>
  <c r="AA55" i="2"/>
  <c r="AA54" i="2"/>
  <c r="AA53" i="2"/>
  <c r="AB53" i="2" s="1"/>
  <c r="AA52" i="2"/>
  <c r="AA51" i="2"/>
  <c r="AA50" i="2"/>
  <c r="AB50" i="2" s="1"/>
  <c r="AA49" i="2"/>
  <c r="AA48" i="2"/>
  <c r="AA47" i="2"/>
  <c r="AB47" i="2" s="1"/>
  <c r="AA46" i="2"/>
  <c r="AA45" i="2"/>
  <c r="AA44" i="2"/>
  <c r="AB44" i="2" s="1"/>
  <c r="AA43" i="2"/>
  <c r="AA42" i="2"/>
  <c r="AA41" i="2"/>
  <c r="AB41" i="2" s="1"/>
  <c r="AA40" i="2"/>
  <c r="AA39" i="2"/>
  <c r="AA38" i="2"/>
  <c r="AB38" i="2" s="1"/>
  <c r="AA37" i="2"/>
  <c r="AA36" i="2"/>
  <c r="AA35" i="2"/>
  <c r="AB35" i="2" s="1"/>
  <c r="AA34" i="2"/>
  <c r="AA33" i="2"/>
  <c r="AA32" i="2"/>
  <c r="AB32" i="2" s="1"/>
  <c r="AA31" i="2"/>
  <c r="AA30" i="2"/>
  <c r="AA29" i="2"/>
  <c r="AB29" i="2" s="1"/>
  <c r="AA28" i="2"/>
  <c r="AA27" i="2"/>
  <c r="AA26" i="2"/>
  <c r="AB26" i="2" s="1"/>
  <c r="AA25" i="2"/>
  <c r="AA24" i="2"/>
  <c r="AA23" i="2"/>
  <c r="AB23" i="2" s="1"/>
  <c r="AA22" i="2"/>
  <c r="AA21" i="2"/>
  <c r="AA20" i="2"/>
  <c r="AB20" i="2" s="1"/>
  <c r="AA19" i="2"/>
  <c r="AA18" i="2"/>
  <c r="AA17" i="2"/>
  <c r="AB17" i="2" s="1"/>
  <c r="AA16" i="2"/>
  <c r="AA15" i="2"/>
  <c r="AA14" i="2"/>
  <c r="AB14" i="2" s="1"/>
  <c r="AA13" i="2"/>
  <c r="AA12" i="2"/>
  <c r="AA11" i="2"/>
  <c r="AB11" i="2" s="1"/>
  <c r="AA10" i="2"/>
  <c r="AA9" i="2"/>
  <c r="AA8" i="2"/>
  <c r="AB8" i="2" s="1"/>
  <c r="X58" i="2"/>
  <c r="X57" i="2"/>
  <c r="X56" i="2"/>
  <c r="Y56" i="2" s="1"/>
  <c r="X55" i="2"/>
  <c r="X54" i="2"/>
  <c r="X53" i="2"/>
  <c r="Y53" i="2" s="1"/>
  <c r="X52" i="2"/>
  <c r="X51" i="2"/>
  <c r="X50" i="2"/>
  <c r="Y50" i="2" s="1"/>
  <c r="X49" i="2"/>
  <c r="X48" i="2"/>
  <c r="X47" i="2"/>
  <c r="Y47" i="2" s="1"/>
  <c r="X46" i="2"/>
  <c r="X45" i="2"/>
  <c r="X44" i="2"/>
  <c r="Y44" i="2" s="1"/>
  <c r="X43" i="2"/>
  <c r="X42" i="2"/>
  <c r="X41" i="2"/>
  <c r="Y41" i="2" s="1"/>
  <c r="X40" i="2"/>
  <c r="X39" i="2"/>
  <c r="X38" i="2"/>
  <c r="Y38" i="2" s="1"/>
  <c r="X37" i="2"/>
  <c r="X36" i="2"/>
  <c r="X35" i="2"/>
  <c r="Y35" i="2" s="1"/>
  <c r="X34" i="2"/>
  <c r="X33" i="2"/>
  <c r="X32" i="2"/>
  <c r="Y32" i="2" s="1"/>
  <c r="X31" i="2"/>
  <c r="X30" i="2"/>
  <c r="X29" i="2"/>
  <c r="Y29" i="2" s="1"/>
  <c r="X28" i="2"/>
  <c r="X27" i="2"/>
  <c r="X26" i="2"/>
  <c r="Y26" i="2" s="1"/>
  <c r="X25" i="2"/>
  <c r="X24" i="2"/>
  <c r="X23" i="2"/>
  <c r="Y23" i="2" s="1"/>
  <c r="X22" i="2"/>
  <c r="X21" i="2"/>
  <c r="X20" i="2"/>
  <c r="Y20" i="2" s="1"/>
  <c r="X19" i="2"/>
  <c r="X18" i="2"/>
  <c r="X17" i="2"/>
  <c r="Y17" i="2" s="1"/>
  <c r="X16" i="2"/>
  <c r="X15" i="2"/>
  <c r="X14" i="2"/>
  <c r="Y14" i="2" s="1"/>
  <c r="X13" i="2"/>
  <c r="X12" i="2"/>
  <c r="X11" i="2"/>
  <c r="Y11" i="2" s="1"/>
  <c r="X10" i="2"/>
  <c r="X9" i="2"/>
  <c r="X8" i="2"/>
  <c r="Y8" i="2" s="1"/>
  <c r="U58" i="2"/>
  <c r="U57" i="2"/>
  <c r="U56" i="2"/>
  <c r="V56" i="2" s="1"/>
  <c r="U55" i="2"/>
  <c r="U54" i="2"/>
  <c r="U53" i="2"/>
  <c r="V53" i="2" s="1"/>
  <c r="U52" i="2"/>
  <c r="U51" i="2"/>
  <c r="U50" i="2"/>
  <c r="V50" i="2" s="1"/>
  <c r="U49" i="2"/>
  <c r="U48" i="2"/>
  <c r="U47" i="2"/>
  <c r="V47" i="2" s="1"/>
  <c r="U46" i="2"/>
  <c r="U45" i="2"/>
  <c r="U44" i="2"/>
  <c r="V44" i="2" s="1"/>
  <c r="U43" i="2"/>
  <c r="U42" i="2"/>
  <c r="U41" i="2"/>
  <c r="V41" i="2" s="1"/>
  <c r="U40" i="2"/>
  <c r="U39" i="2"/>
  <c r="U38" i="2"/>
  <c r="V38" i="2" s="1"/>
  <c r="U37" i="2"/>
  <c r="U36" i="2"/>
  <c r="U35" i="2"/>
  <c r="V35" i="2" s="1"/>
  <c r="U34" i="2"/>
  <c r="U33" i="2"/>
  <c r="U32" i="2"/>
  <c r="V32" i="2" s="1"/>
  <c r="U31" i="2"/>
  <c r="U30" i="2"/>
  <c r="U29" i="2"/>
  <c r="V29" i="2" s="1"/>
  <c r="U28" i="2"/>
  <c r="U27" i="2"/>
  <c r="U26" i="2"/>
  <c r="V26" i="2" s="1"/>
  <c r="U25" i="2"/>
  <c r="U24" i="2"/>
  <c r="U23" i="2"/>
  <c r="V23" i="2" s="1"/>
  <c r="U22" i="2"/>
  <c r="U21" i="2"/>
  <c r="U20" i="2"/>
  <c r="V20" i="2" s="1"/>
  <c r="U19" i="2"/>
  <c r="U18" i="2"/>
  <c r="U17" i="2"/>
  <c r="V17" i="2" s="1"/>
  <c r="U16" i="2"/>
  <c r="U15" i="2"/>
  <c r="U14" i="2"/>
  <c r="V14" i="2" s="1"/>
  <c r="U13" i="2"/>
  <c r="U12" i="2"/>
  <c r="U11" i="2"/>
  <c r="V11" i="2" s="1"/>
  <c r="U10" i="2"/>
  <c r="U9" i="2"/>
  <c r="U8" i="2"/>
  <c r="V8" i="2" s="1"/>
  <c r="R58" i="2"/>
  <c r="R57" i="2"/>
  <c r="R56" i="2"/>
  <c r="S56" i="2" s="1"/>
  <c r="R55" i="2"/>
  <c r="R54" i="2"/>
  <c r="R53" i="2"/>
  <c r="S53" i="2" s="1"/>
  <c r="R52" i="2"/>
  <c r="R51" i="2"/>
  <c r="R50" i="2"/>
  <c r="S50" i="2" s="1"/>
  <c r="R49" i="2"/>
  <c r="R48" i="2"/>
  <c r="R47" i="2"/>
  <c r="S47" i="2" s="1"/>
  <c r="R46" i="2"/>
  <c r="R45" i="2"/>
  <c r="R44" i="2"/>
  <c r="S44" i="2" s="1"/>
  <c r="R43" i="2"/>
  <c r="R42" i="2"/>
  <c r="R41" i="2"/>
  <c r="S41" i="2" s="1"/>
  <c r="R40" i="2"/>
  <c r="R39" i="2"/>
  <c r="R38" i="2"/>
  <c r="S38" i="2" s="1"/>
  <c r="R37" i="2"/>
  <c r="R36" i="2"/>
  <c r="R35" i="2"/>
  <c r="S35" i="2" s="1"/>
  <c r="R34" i="2"/>
  <c r="R33" i="2"/>
  <c r="R32" i="2"/>
  <c r="S32" i="2" s="1"/>
  <c r="R31" i="2"/>
  <c r="R30" i="2"/>
  <c r="R29" i="2"/>
  <c r="S29" i="2" s="1"/>
  <c r="R28" i="2"/>
  <c r="R27" i="2"/>
  <c r="R26" i="2"/>
  <c r="S26" i="2" s="1"/>
  <c r="R25" i="2"/>
  <c r="R24" i="2"/>
  <c r="R23" i="2"/>
  <c r="S23" i="2" s="1"/>
  <c r="R22" i="2"/>
  <c r="R21" i="2"/>
  <c r="R20" i="2"/>
  <c r="S20" i="2" s="1"/>
  <c r="R19" i="2"/>
  <c r="R18" i="2"/>
  <c r="R17" i="2"/>
  <c r="S17" i="2" s="1"/>
  <c r="R16" i="2"/>
  <c r="R15" i="2"/>
  <c r="R14" i="2"/>
  <c r="S14" i="2" s="1"/>
  <c r="R13" i="2"/>
  <c r="R12" i="2"/>
  <c r="R11" i="2"/>
  <c r="S11" i="2" s="1"/>
  <c r="R10" i="2"/>
  <c r="R9" i="2"/>
  <c r="R8" i="2"/>
  <c r="S8" i="2" s="1"/>
  <c r="O58" i="2"/>
  <c r="O57" i="2"/>
  <c r="O56" i="2"/>
  <c r="P56" i="2" s="1"/>
  <c r="O55" i="2"/>
  <c r="O54" i="2"/>
  <c r="O53" i="2"/>
  <c r="P53" i="2" s="1"/>
  <c r="O52" i="2"/>
  <c r="O51" i="2"/>
  <c r="O50" i="2"/>
  <c r="P50" i="2" s="1"/>
  <c r="O49" i="2"/>
  <c r="O48" i="2"/>
  <c r="O47" i="2"/>
  <c r="P47" i="2" s="1"/>
  <c r="O46" i="2"/>
  <c r="O45" i="2"/>
  <c r="O44" i="2"/>
  <c r="P44" i="2" s="1"/>
  <c r="O43" i="2"/>
  <c r="O42" i="2"/>
  <c r="O41" i="2"/>
  <c r="P41" i="2" s="1"/>
  <c r="O40" i="2"/>
  <c r="O39" i="2"/>
  <c r="O38" i="2"/>
  <c r="P38" i="2" s="1"/>
  <c r="O37" i="2"/>
  <c r="O36" i="2"/>
  <c r="O35" i="2"/>
  <c r="P35" i="2" s="1"/>
  <c r="O34" i="2"/>
  <c r="O33" i="2"/>
  <c r="O32" i="2"/>
  <c r="P32" i="2" s="1"/>
  <c r="O31" i="2"/>
  <c r="O30" i="2"/>
  <c r="O29" i="2"/>
  <c r="P29" i="2" s="1"/>
  <c r="O28" i="2"/>
  <c r="O27" i="2"/>
  <c r="O26" i="2"/>
  <c r="P26" i="2" s="1"/>
  <c r="O25" i="2"/>
  <c r="O24" i="2"/>
  <c r="O23" i="2"/>
  <c r="P23" i="2" s="1"/>
  <c r="O22" i="2"/>
  <c r="O21" i="2"/>
  <c r="O20" i="2"/>
  <c r="P20" i="2" s="1"/>
  <c r="O19" i="2"/>
  <c r="O18" i="2"/>
  <c r="O17" i="2"/>
  <c r="P17" i="2" s="1"/>
  <c r="O16" i="2"/>
  <c r="O15" i="2"/>
  <c r="O14" i="2"/>
  <c r="P14" i="2" s="1"/>
  <c r="O13" i="2"/>
  <c r="O12" i="2"/>
  <c r="O11" i="2"/>
  <c r="P11" i="2" s="1"/>
  <c r="O10" i="2"/>
  <c r="O9" i="2"/>
  <c r="O8" i="2"/>
  <c r="P8" i="2" s="1"/>
  <c r="L58" i="2"/>
  <c r="L57" i="2"/>
  <c r="L56" i="2"/>
  <c r="M56" i="2" s="1"/>
  <c r="L55" i="2"/>
  <c r="L54" i="2"/>
  <c r="L53" i="2"/>
  <c r="M53" i="2" s="1"/>
  <c r="L52" i="2"/>
  <c r="L51" i="2"/>
  <c r="L50" i="2"/>
  <c r="M50" i="2" s="1"/>
  <c r="L49" i="2"/>
  <c r="L48" i="2"/>
  <c r="L47" i="2"/>
  <c r="M47" i="2" s="1"/>
  <c r="L46" i="2"/>
  <c r="L45" i="2"/>
  <c r="L44" i="2"/>
  <c r="M44" i="2" s="1"/>
  <c r="L43" i="2"/>
  <c r="L42" i="2"/>
  <c r="L41" i="2"/>
  <c r="M41" i="2" s="1"/>
  <c r="L40" i="2"/>
  <c r="L39" i="2"/>
  <c r="L38" i="2"/>
  <c r="M38" i="2" s="1"/>
  <c r="L37" i="2"/>
  <c r="L36" i="2"/>
  <c r="L35" i="2"/>
  <c r="M35" i="2" s="1"/>
  <c r="L34" i="2"/>
  <c r="L33" i="2"/>
  <c r="L32" i="2"/>
  <c r="M32" i="2" s="1"/>
  <c r="L31" i="2"/>
  <c r="L30" i="2"/>
  <c r="L29" i="2"/>
  <c r="M29" i="2" s="1"/>
  <c r="L28" i="2"/>
  <c r="L27" i="2"/>
  <c r="L26" i="2"/>
  <c r="M26" i="2" s="1"/>
  <c r="L25" i="2"/>
  <c r="L24" i="2"/>
  <c r="L23" i="2"/>
  <c r="M23" i="2" s="1"/>
  <c r="L22" i="2"/>
  <c r="L21" i="2"/>
  <c r="L20" i="2"/>
  <c r="M20" i="2" s="1"/>
  <c r="L19" i="2"/>
  <c r="L18" i="2"/>
  <c r="L17" i="2"/>
  <c r="M17" i="2" s="1"/>
  <c r="L16" i="2"/>
  <c r="L15" i="2"/>
  <c r="L14" i="2"/>
  <c r="M14" i="2" s="1"/>
  <c r="L13" i="2"/>
  <c r="L12" i="2"/>
  <c r="L11" i="2"/>
  <c r="M11" i="2" s="1"/>
  <c r="L10" i="2"/>
  <c r="L9" i="2"/>
  <c r="L8" i="2"/>
  <c r="M8" i="2" s="1"/>
  <c r="I58" i="2"/>
  <c r="I57" i="2"/>
  <c r="I56" i="2"/>
  <c r="J56" i="2" s="1"/>
  <c r="I55" i="2"/>
  <c r="I54" i="2"/>
  <c r="I53" i="2"/>
  <c r="J53" i="2" s="1"/>
  <c r="I52" i="2"/>
  <c r="I51" i="2"/>
  <c r="I50" i="2"/>
  <c r="J50" i="2" s="1"/>
  <c r="I49" i="2"/>
  <c r="I48" i="2"/>
  <c r="I47" i="2"/>
  <c r="J47" i="2" s="1"/>
  <c r="I46" i="2"/>
  <c r="I45" i="2"/>
  <c r="I44" i="2"/>
  <c r="J44" i="2" s="1"/>
  <c r="I43" i="2"/>
  <c r="I42" i="2"/>
  <c r="I41" i="2"/>
  <c r="J41" i="2" s="1"/>
  <c r="I40" i="2"/>
  <c r="I39" i="2"/>
  <c r="I38" i="2"/>
  <c r="J38" i="2" s="1"/>
  <c r="I37" i="2"/>
  <c r="I36" i="2"/>
  <c r="I35" i="2"/>
  <c r="J35" i="2" s="1"/>
  <c r="I34" i="2"/>
  <c r="I33" i="2"/>
  <c r="I32" i="2"/>
  <c r="J32" i="2" s="1"/>
  <c r="I31" i="2"/>
  <c r="I30" i="2"/>
  <c r="I29" i="2"/>
  <c r="J29" i="2" s="1"/>
  <c r="I28" i="2"/>
  <c r="I27" i="2"/>
  <c r="I26" i="2"/>
  <c r="J26" i="2" s="1"/>
  <c r="I25" i="2"/>
  <c r="I24" i="2"/>
  <c r="I23" i="2"/>
  <c r="J23" i="2" s="1"/>
  <c r="I22" i="2"/>
  <c r="I21" i="2"/>
  <c r="I20" i="2"/>
  <c r="J20" i="2" s="1"/>
  <c r="I19" i="2"/>
  <c r="I18" i="2"/>
  <c r="I17" i="2"/>
  <c r="J17" i="2" s="1"/>
  <c r="I16" i="2"/>
  <c r="I15" i="2"/>
  <c r="I14" i="2"/>
  <c r="J14" i="2" s="1"/>
  <c r="I13" i="2"/>
  <c r="I12" i="2"/>
  <c r="I11" i="2"/>
  <c r="J11" i="2" s="1"/>
  <c r="I10" i="2"/>
  <c r="I9" i="2"/>
  <c r="I8" i="2"/>
  <c r="J8" i="2" s="1"/>
  <c r="F58" i="2"/>
  <c r="F57" i="2"/>
  <c r="F56" i="2"/>
  <c r="G56" i="2" s="1"/>
  <c r="F55" i="2"/>
  <c r="F54" i="2"/>
  <c r="F53" i="2"/>
  <c r="G53" i="2" s="1"/>
  <c r="F52" i="2"/>
  <c r="F51" i="2"/>
  <c r="F50" i="2"/>
  <c r="G50" i="2" s="1"/>
  <c r="F49" i="2"/>
  <c r="F48" i="2"/>
  <c r="F47" i="2"/>
  <c r="G47" i="2" s="1"/>
  <c r="F46" i="2"/>
  <c r="F45" i="2"/>
  <c r="F44" i="2"/>
  <c r="G44" i="2" s="1"/>
  <c r="F43" i="2"/>
  <c r="F42" i="2"/>
  <c r="F41" i="2"/>
  <c r="G41" i="2" s="1"/>
  <c r="F40" i="2"/>
  <c r="F39" i="2"/>
  <c r="F38" i="2"/>
  <c r="G38" i="2" s="1"/>
  <c r="F37" i="2"/>
  <c r="F36" i="2"/>
  <c r="F35" i="2"/>
  <c r="G35" i="2" s="1"/>
  <c r="F34" i="2"/>
  <c r="F33" i="2"/>
  <c r="F32" i="2"/>
  <c r="G32" i="2" s="1"/>
  <c r="F31" i="2"/>
  <c r="F30" i="2"/>
  <c r="F29" i="2"/>
  <c r="G29" i="2" s="1"/>
  <c r="F28" i="2"/>
  <c r="F27" i="2"/>
  <c r="F26" i="2"/>
  <c r="G26" i="2" s="1"/>
  <c r="F25" i="2"/>
  <c r="F24" i="2"/>
  <c r="F23" i="2"/>
  <c r="G23" i="2" s="1"/>
  <c r="F22" i="2"/>
  <c r="F21" i="2"/>
  <c r="F20" i="2"/>
  <c r="G20" i="2" s="1"/>
  <c r="F19" i="2"/>
  <c r="F18" i="2"/>
  <c r="F17" i="2"/>
  <c r="G17" i="2" s="1"/>
  <c r="F16" i="2"/>
  <c r="F15" i="2"/>
  <c r="F14" i="2"/>
  <c r="G14" i="2" s="1"/>
  <c r="F13" i="2"/>
  <c r="F12" i="2"/>
  <c r="F11" i="2"/>
  <c r="G11" i="2" s="1"/>
  <c r="F10" i="2"/>
  <c r="F9" i="2"/>
  <c r="F8" i="2"/>
  <c r="G8" i="2" s="1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58" i="8"/>
  <c r="C57" i="8"/>
  <c r="C56" i="8"/>
  <c r="D56" i="8" s="1"/>
  <c r="C55" i="8"/>
  <c r="C54" i="8"/>
  <c r="C53" i="8"/>
  <c r="D53" i="8" s="1"/>
  <c r="C52" i="8"/>
  <c r="C51" i="8"/>
  <c r="C50" i="8"/>
  <c r="D50" i="8" s="1"/>
  <c r="C49" i="8"/>
  <c r="C48" i="8"/>
  <c r="C47" i="8"/>
  <c r="D47" i="8" s="1"/>
  <c r="C46" i="8"/>
  <c r="C45" i="8"/>
  <c r="C44" i="8"/>
  <c r="D44" i="8" s="1"/>
  <c r="C43" i="8"/>
  <c r="C42" i="8"/>
  <c r="C41" i="8"/>
  <c r="D41" i="8" s="1"/>
  <c r="C40" i="8"/>
  <c r="C39" i="8"/>
  <c r="C38" i="8"/>
  <c r="D38" i="8" s="1"/>
  <c r="C37" i="8"/>
  <c r="C36" i="8"/>
  <c r="C35" i="8"/>
  <c r="C34" i="8"/>
  <c r="C33" i="8"/>
  <c r="C32" i="8"/>
  <c r="D32" i="8" s="1"/>
  <c r="C31" i="8"/>
  <c r="C30" i="8"/>
  <c r="C29" i="8"/>
  <c r="D29" i="8" s="1"/>
  <c r="C28" i="8"/>
  <c r="C27" i="8"/>
  <c r="C26" i="8"/>
  <c r="D26" i="8" s="1"/>
  <c r="C25" i="8"/>
  <c r="C24" i="8"/>
  <c r="C23" i="8"/>
  <c r="D23" i="8" s="1"/>
  <c r="C22" i="8"/>
  <c r="C21" i="8"/>
  <c r="C20" i="8"/>
  <c r="D20" i="8" s="1"/>
  <c r="C19" i="8"/>
  <c r="C18" i="8"/>
  <c r="C17" i="8"/>
  <c r="D17" i="8" s="1"/>
  <c r="C16" i="8"/>
  <c r="C15" i="8"/>
  <c r="C14" i="8"/>
  <c r="D14" i="8" s="1"/>
  <c r="C13" i="8"/>
  <c r="C12" i="8"/>
  <c r="C11" i="8"/>
  <c r="C10" i="8"/>
  <c r="C9" i="8"/>
  <c r="C8" i="8"/>
  <c r="D8" i="8" s="1"/>
  <c r="C58" i="7"/>
  <c r="C57" i="7"/>
  <c r="C56" i="7"/>
  <c r="D56" i="7" s="1"/>
  <c r="C55" i="7"/>
  <c r="C54" i="7"/>
  <c r="C53" i="7"/>
  <c r="D53" i="7" s="1"/>
  <c r="C52" i="7"/>
  <c r="C51" i="7"/>
  <c r="C50" i="7"/>
  <c r="D50" i="7" s="1"/>
  <c r="C49" i="7"/>
  <c r="C48" i="7"/>
  <c r="C47" i="7"/>
  <c r="D47" i="7" s="1"/>
  <c r="C46" i="7"/>
  <c r="C45" i="7"/>
  <c r="C44" i="7"/>
  <c r="D44" i="7" s="1"/>
  <c r="C43" i="7"/>
  <c r="C42" i="7"/>
  <c r="C41" i="7"/>
  <c r="D41" i="7" s="1"/>
  <c r="C40" i="7"/>
  <c r="C39" i="7"/>
  <c r="C38" i="7"/>
  <c r="D38" i="7" s="1"/>
  <c r="C37" i="7"/>
  <c r="C36" i="7"/>
  <c r="C35" i="7"/>
  <c r="C34" i="7"/>
  <c r="C33" i="7"/>
  <c r="C32" i="7"/>
  <c r="D32" i="7" s="1"/>
  <c r="C31" i="7"/>
  <c r="C30" i="7"/>
  <c r="C29" i="7"/>
  <c r="D29" i="7" s="1"/>
  <c r="C28" i="7"/>
  <c r="C27" i="7"/>
  <c r="C26" i="7"/>
  <c r="D26" i="7" s="1"/>
  <c r="C25" i="7"/>
  <c r="C24" i="7"/>
  <c r="C23" i="7"/>
  <c r="D23" i="7" s="1"/>
  <c r="C22" i="7"/>
  <c r="C21" i="7"/>
  <c r="C20" i="7"/>
  <c r="D20" i="7" s="1"/>
  <c r="C19" i="7"/>
  <c r="C18" i="7"/>
  <c r="C17" i="7"/>
  <c r="D17" i="7" s="1"/>
  <c r="C16" i="7"/>
  <c r="C15" i="7"/>
  <c r="C14" i="7"/>
  <c r="D14" i="7" s="1"/>
  <c r="C13" i="7"/>
  <c r="C12" i="7"/>
  <c r="C11" i="7"/>
  <c r="C10" i="7"/>
  <c r="C9" i="7"/>
  <c r="C8" i="7"/>
  <c r="D8" i="7" s="1"/>
  <c r="C58" i="6"/>
  <c r="C57" i="6"/>
  <c r="C56" i="6"/>
  <c r="D56" i="6" s="1"/>
  <c r="C55" i="6"/>
  <c r="C54" i="6"/>
  <c r="C53" i="6"/>
  <c r="D53" i="6" s="1"/>
  <c r="C52" i="6"/>
  <c r="C51" i="6"/>
  <c r="C50" i="6"/>
  <c r="D50" i="6" s="1"/>
  <c r="C49" i="6"/>
  <c r="C48" i="6"/>
  <c r="C47" i="6"/>
  <c r="D47" i="6" s="1"/>
  <c r="C46" i="6"/>
  <c r="C45" i="6"/>
  <c r="C44" i="6"/>
  <c r="D44" i="6" s="1"/>
  <c r="C43" i="6"/>
  <c r="C42" i="6"/>
  <c r="C41" i="6"/>
  <c r="D41" i="6" s="1"/>
  <c r="C40" i="6"/>
  <c r="C39" i="6"/>
  <c r="C38" i="6"/>
  <c r="D38" i="6" s="1"/>
  <c r="C37" i="6"/>
  <c r="C36" i="6"/>
  <c r="C35" i="6"/>
  <c r="C34" i="6"/>
  <c r="C33" i="6"/>
  <c r="C32" i="6"/>
  <c r="D32" i="6" s="1"/>
  <c r="C31" i="6"/>
  <c r="C30" i="6"/>
  <c r="C29" i="6"/>
  <c r="D29" i="6" s="1"/>
  <c r="C28" i="6"/>
  <c r="C27" i="6"/>
  <c r="C26" i="6"/>
  <c r="D26" i="6" s="1"/>
  <c r="C25" i="6"/>
  <c r="C24" i="6"/>
  <c r="C23" i="6"/>
  <c r="D23" i="6" s="1"/>
  <c r="C22" i="6"/>
  <c r="C21" i="6"/>
  <c r="C20" i="6"/>
  <c r="D20" i="6" s="1"/>
  <c r="C19" i="6"/>
  <c r="C18" i="6"/>
  <c r="C17" i="6"/>
  <c r="D17" i="6" s="1"/>
  <c r="C16" i="6"/>
  <c r="C15" i="6"/>
  <c r="C14" i="6"/>
  <c r="D14" i="6" s="1"/>
  <c r="C13" i="6"/>
  <c r="C12" i="6"/>
  <c r="C11" i="6"/>
  <c r="C10" i="6"/>
  <c r="C9" i="6"/>
  <c r="C8" i="6"/>
  <c r="D8" i="6" s="1"/>
  <c r="C58" i="5"/>
  <c r="C57" i="5"/>
  <c r="C56" i="5"/>
  <c r="D56" i="5" s="1"/>
  <c r="C55" i="5"/>
  <c r="C54" i="5"/>
  <c r="C53" i="5"/>
  <c r="D53" i="5" s="1"/>
  <c r="C52" i="5"/>
  <c r="C51" i="5"/>
  <c r="C50" i="5"/>
  <c r="D50" i="5" s="1"/>
  <c r="C49" i="5"/>
  <c r="C48" i="5"/>
  <c r="C47" i="5"/>
  <c r="D47" i="5" s="1"/>
  <c r="C46" i="5"/>
  <c r="C45" i="5"/>
  <c r="C44" i="5"/>
  <c r="D44" i="5" s="1"/>
  <c r="C43" i="5"/>
  <c r="C42" i="5"/>
  <c r="C41" i="5"/>
  <c r="D41" i="5" s="1"/>
  <c r="C40" i="5"/>
  <c r="C39" i="5"/>
  <c r="C38" i="5"/>
  <c r="D38" i="5" s="1"/>
  <c r="C37" i="5"/>
  <c r="C36" i="5"/>
  <c r="C35" i="5"/>
  <c r="C34" i="5"/>
  <c r="C33" i="5"/>
  <c r="C32" i="5"/>
  <c r="D32" i="5" s="1"/>
  <c r="C31" i="5"/>
  <c r="C30" i="5"/>
  <c r="C29" i="5"/>
  <c r="D29" i="5" s="1"/>
  <c r="C28" i="5"/>
  <c r="C27" i="5"/>
  <c r="C26" i="5"/>
  <c r="D26" i="5" s="1"/>
  <c r="C25" i="5"/>
  <c r="C24" i="5"/>
  <c r="C23" i="5"/>
  <c r="D23" i="5" s="1"/>
  <c r="C22" i="5"/>
  <c r="C21" i="5"/>
  <c r="C20" i="5"/>
  <c r="D20" i="5" s="1"/>
  <c r="C19" i="5"/>
  <c r="C18" i="5"/>
  <c r="C17" i="5"/>
  <c r="D17" i="5" s="1"/>
  <c r="C16" i="5"/>
  <c r="C15" i="5"/>
  <c r="C14" i="5"/>
  <c r="D14" i="5" s="1"/>
  <c r="C13" i="5"/>
  <c r="C12" i="5"/>
  <c r="C11" i="5"/>
  <c r="C10" i="5"/>
  <c r="C9" i="5"/>
  <c r="C8" i="5"/>
  <c r="D8" i="5" s="1"/>
  <c r="C58" i="4"/>
  <c r="C57" i="4"/>
  <c r="C56" i="4"/>
  <c r="D56" i="4" s="1"/>
  <c r="C55" i="4"/>
  <c r="C54" i="4"/>
  <c r="C53" i="4"/>
  <c r="D53" i="4" s="1"/>
  <c r="C52" i="4"/>
  <c r="C51" i="4"/>
  <c r="C50" i="4"/>
  <c r="D50" i="4" s="1"/>
  <c r="C49" i="4"/>
  <c r="C48" i="4"/>
  <c r="C47" i="4"/>
  <c r="D47" i="4" s="1"/>
  <c r="C46" i="4"/>
  <c r="C45" i="4"/>
  <c r="C44" i="4"/>
  <c r="D44" i="4" s="1"/>
  <c r="C43" i="4"/>
  <c r="C42" i="4"/>
  <c r="C41" i="4"/>
  <c r="D41" i="4" s="1"/>
  <c r="C40" i="4"/>
  <c r="C39" i="4"/>
  <c r="C38" i="4"/>
  <c r="D38" i="4" s="1"/>
  <c r="C37" i="4"/>
  <c r="C36" i="4"/>
  <c r="C35" i="4"/>
  <c r="C34" i="4"/>
  <c r="C33" i="4"/>
  <c r="C32" i="4"/>
  <c r="D32" i="4" s="1"/>
  <c r="C31" i="4"/>
  <c r="C30" i="4"/>
  <c r="C29" i="4"/>
  <c r="D29" i="4" s="1"/>
  <c r="C28" i="4"/>
  <c r="C27" i="4"/>
  <c r="C26" i="4"/>
  <c r="D26" i="4" s="1"/>
  <c r="C25" i="4"/>
  <c r="C24" i="4"/>
  <c r="C23" i="4"/>
  <c r="D23" i="4" s="1"/>
  <c r="C22" i="4"/>
  <c r="C21" i="4"/>
  <c r="C20" i="4"/>
  <c r="D20" i="4" s="1"/>
  <c r="C19" i="4"/>
  <c r="C18" i="4"/>
  <c r="C17" i="4"/>
  <c r="D17" i="4" s="1"/>
  <c r="C16" i="4"/>
  <c r="C15" i="4"/>
  <c r="C14" i="4"/>
  <c r="D14" i="4" s="1"/>
  <c r="C13" i="4"/>
  <c r="C12" i="4"/>
  <c r="C11" i="4"/>
  <c r="C10" i="4"/>
  <c r="C9" i="4"/>
  <c r="C8" i="4"/>
  <c r="D8" i="4" s="1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58" i="2"/>
  <c r="C57" i="2"/>
  <c r="C56" i="2"/>
  <c r="D56" i="2" s="1"/>
  <c r="C55" i="2"/>
  <c r="C54" i="2"/>
  <c r="C53" i="2"/>
  <c r="D53" i="2" s="1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</calcChain>
</file>

<file path=xl/sharedStrings.xml><?xml version="1.0" encoding="utf-8"?>
<sst xmlns="http://schemas.openxmlformats.org/spreadsheetml/2006/main" count="1253" uniqueCount="249">
  <si>
    <t>TABLE</t>
  </si>
  <si>
    <t>REG_1</t>
  </si>
  <si>
    <t>REG_2</t>
  </si>
  <si>
    <t>REG_3</t>
  </si>
  <si>
    <t>REG_4</t>
  </si>
  <si>
    <t>REG_5</t>
  </si>
  <si>
    <t>REG_6</t>
  </si>
  <si>
    <t>REG_7</t>
  </si>
  <si>
    <t>REG_8</t>
  </si>
  <si>
    <t>REG_9</t>
  </si>
  <si>
    <t>REG_10</t>
  </si>
  <si>
    <t>REG_11</t>
  </si>
  <si>
    <t>REG_12</t>
  </si>
  <si>
    <t>REG_13</t>
  </si>
  <si>
    <t>REG_14</t>
  </si>
  <si>
    <t>DEPVAR</t>
  </si>
  <si>
    <t>DA</t>
  </si>
  <si>
    <t>OBSERVATIONS</t>
  </si>
  <si>
    <t>420</t>
  </si>
  <si>
    <t>R2</t>
  </si>
  <si>
    <t>ADJUSTED R2</t>
  </si>
  <si>
    <t>INDUSTRIES</t>
  </si>
  <si>
    <t>No</t>
  </si>
  <si>
    <t>Yes</t>
  </si>
  <si>
    <t>VIF_MEAN</t>
  </si>
  <si>
    <t>VIF_MAX</t>
  </si>
  <si>
    <t>VIF_N_VAR_ABOVE_5</t>
  </si>
  <si>
    <t>VIF_N_VAR_ABOVE_MEAN</t>
  </si>
  <si>
    <t>MAPE</t>
  </si>
  <si>
    <t>DIS</t>
  </si>
  <si>
    <t>424</t>
  </si>
  <si>
    <t>CONST</t>
  </si>
  <si>
    <t>ADX30D_TREND_DAYS..[TECHNICAL INDICATOR].[MOMENTUM]</t>
  </si>
  <si>
    <t>ANALYST_DISPERSION_RMEAN..[SENTIMENT INDICATOR].[VOLATILITY]</t>
  </si>
  <si>
    <t>ANALYST_NUMBER_RMEAN..[SENTIMENT INDICATOR].[ATTRACTIVENESS]</t>
  </si>
  <si>
    <t>BIDASK_RMEAN..[MARKET FUNDAMENTALS].[LIQUIDITY]</t>
  </si>
  <si>
    <t>HURST_RANDWALK_DAYS..[STOCK BEHAVIOR].[MOMENTUM]</t>
  </si>
  <si>
    <t>MARKETCAP_RMEAN..[FIRM CHARACTERISTICS].[COMPANY SIZE]</t>
  </si>
  <si>
    <t>MARKET_BETA..[MARKET FUNDAMENTALS].[VARIABLE INCOME]</t>
  </si>
  <si>
    <t>PBPERSHARE_RMEAN..[STOCK BEHAVIOR].[GROWTH OPORTUNITIES]</t>
  </si>
  <si>
    <t>PRICE_CUSUM_BREAKS..[SIGNAL BEHAVIOR].[TENDENCY CHANGE]</t>
  </si>
  <si>
    <t>PUTCALLRATIO_RMEAN..[SENTIMENT INDICATOR].[EXPECTATIVES]</t>
  </si>
  <si>
    <t>R_MSTD_LT..[RISK MEASURE].[VOLATILITY]</t>
  </si>
  <si>
    <t>R_MSTD_ST..[RISK MEASURE].[VOLATILITY]</t>
  </si>
  <si>
    <t>SPREAD_BETA..[MARKET FUNDAMENTALS].[FIXED INCOME]</t>
  </si>
  <si>
    <t>STREAK_HMEAN..[STOCK BEHAVIOR].[MOMENTUM]</t>
  </si>
  <si>
    <t>VIX_BETA..[SENTIMENT INDICATOR].[VOLATILITY]</t>
  </si>
  <si>
    <t>VOLUME_CV..[FIRM CHARACTERISTICS].[COMPANY SIZE]</t>
  </si>
  <si>
    <t>16,566 ***</t>
  </si>
  <si>
    <t>(1,838)</t>
  </si>
  <si>
    <t xml:space="preserve">-0,001 </t>
  </si>
  <si>
    <t>(0,001)</t>
  </si>
  <si>
    <t xml:space="preserve">0,004 </t>
  </si>
  <si>
    <t>(0,002)</t>
  </si>
  <si>
    <t xml:space="preserve">0,001 </t>
  </si>
  <si>
    <t>(0,007)</t>
  </si>
  <si>
    <t xml:space="preserve">2,458 </t>
  </si>
  <si>
    <t>(1,627)</t>
  </si>
  <si>
    <t>0 *</t>
  </si>
  <si>
    <t>(0)</t>
  </si>
  <si>
    <t xml:space="preserve">0 </t>
  </si>
  <si>
    <t>2,963 **</t>
  </si>
  <si>
    <t>(1,35)</t>
  </si>
  <si>
    <t xml:space="preserve">0,002 </t>
  </si>
  <si>
    <t>(0,022)</t>
  </si>
  <si>
    <t xml:space="preserve">0,005 </t>
  </si>
  <si>
    <t>(0,036)</t>
  </si>
  <si>
    <t xml:space="preserve">-1,656 </t>
  </si>
  <si>
    <t>(1,097)</t>
  </si>
  <si>
    <t xml:space="preserve">1,881 </t>
  </si>
  <si>
    <t>(1,204)</t>
  </si>
  <si>
    <t>2,535 **</t>
  </si>
  <si>
    <t>(0,987)</t>
  </si>
  <si>
    <t>17,227 ***</t>
  </si>
  <si>
    <t>(0,85)</t>
  </si>
  <si>
    <t>35,74 **</t>
  </si>
  <si>
    <t>(14,211)</t>
  </si>
  <si>
    <t>17,624 ***</t>
  </si>
  <si>
    <t>(1,893)</t>
  </si>
  <si>
    <t>0,005 **</t>
  </si>
  <si>
    <t>(0,008)</t>
  </si>
  <si>
    <t xml:space="preserve">2,602 </t>
  </si>
  <si>
    <t>(1,674)</t>
  </si>
  <si>
    <t xml:space="preserve">2,001 </t>
  </si>
  <si>
    <t>(1,598)</t>
  </si>
  <si>
    <t>0,003 **</t>
  </si>
  <si>
    <t xml:space="preserve">-0,006 </t>
  </si>
  <si>
    <t xml:space="preserve">-0,009 </t>
  </si>
  <si>
    <t>(0,037)</t>
  </si>
  <si>
    <t xml:space="preserve">-1,279 </t>
  </si>
  <si>
    <t>(1,153)</t>
  </si>
  <si>
    <t xml:space="preserve">1,419 </t>
  </si>
  <si>
    <t>(1,273)</t>
  </si>
  <si>
    <t>2,362 **</t>
  </si>
  <si>
    <t>(1,019)</t>
  </si>
  <si>
    <t>16,404 ***</t>
  </si>
  <si>
    <t>(0,924)</t>
  </si>
  <si>
    <t xml:space="preserve">26,525 </t>
  </si>
  <si>
    <t>(16,555)</t>
  </si>
  <si>
    <t>15,33 ***</t>
  </si>
  <si>
    <t>(1,821)</t>
  </si>
  <si>
    <t>0 ***</t>
  </si>
  <si>
    <t xml:space="preserve">-0,152 </t>
  </si>
  <si>
    <t>(0,122)</t>
  </si>
  <si>
    <t>2,932 ***</t>
  </si>
  <si>
    <t>(0,956)</t>
  </si>
  <si>
    <t>17,977 ***</t>
  </si>
  <si>
    <t>(0,837)</t>
  </si>
  <si>
    <t>16,666 ***</t>
  </si>
  <si>
    <t>(1,881)</t>
  </si>
  <si>
    <t>(0,023)</t>
  </si>
  <si>
    <t xml:space="preserve">-0,169 </t>
  </si>
  <si>
    <t>(0,142)</t>
  </si>
  <si>
    <t>2,664 ***</t>
  </si>
  <si>
    <t>(0,992)</t>
  </si>
  <si>
    <t>16,928 ***</t>
  </si>
  <si>
    <t>(0,911)</t>
  </si>
  <si>
    <t>51,158 ***</t>
  </si>
  <si>
    <t>(0,955)</t>
  </si>
  <si>
    <t>0,012 ***</t>
  </si>
  <si>
    <t>(0,003)</t>
  </si>
  <si>
    <t xml:space="preserve">-0,986 </t>
  </si>
  <si>
    <t>(2,331)</t>
  </si>
  <si>
    <t>0,004 **</t>
  </si>
  <si>
    <t xml:space="preserve">-0,047 </t>
  </si>
  <si>
    <t>(0,032)</t>
  </si>
  <si>
    <t>0,422 ***</t>
  </si>
  <si>
    <t>(0,155)</t>
  </si>
  <si>
    <t xml:space="preserve">0,003 </t>
  </si>
  <si>
    <t>48,952 ***</t>
  </si>
  <si>
    <t>(0,873)</t>
  </si>
  <si>
    <t>0,011 ***</t>
  </si>
  <si>
    <t xml:space="preserve">-0,341 </t>
  </si>
  <si>
    <t>(2,249)</t>
  </si>
  <si>
    <t xml:space="preserve">-0,031 </t>
  </si>
  <si>
    <t>(0,03)</t>
  </si>
  <si>
    <t xml:space="preserve">0,231 </t>
  </si>
  <si>
    <t>(0,178)</t>
  </si>
  <si>
    <t>51,734 ***</t>
  </si>
  <si>
    <t>(1,013)</t>
  </si>
  <si>
    <t xml:space="preserve">-0,008 </t>
  </si>
  <si>
    <t>(0,009)</t>
  </si>
  <si>
    <t xml:space="preserve">-0,541 </t>
  </si>
  <si>
    <t>(2,411)</t>
  </si>
  <si>
    <t>4,617 **</t>
  </si>
  <si>
    <t>(1,957)</t>
  </si>
  <si>
    <t xml:space="preserve">-0,044 </t>
  </si>
  <si>
    <t>(0,033)</t>
  </si>
  <si>
    <t>(0,052)</t>
  </si>
  <si>
    <t xml:space="preserve">-0,695 </t>
  </si>
  <si>
    <t>(1,423)</t>
  </si>
  <si>
    <t>44,35 **</t>
  </si>
  <si>
    <t>(20,188)</t>
  </si>
  <si>
    <t>49,176 ***</t>
  </si>
  <si>
    <t>(0,982)</t>
  </si>
  <si>
    <t xml:space="preserve">-0,002 </t>
  </si>
  <si>
    <t>(0,01)</t>
  </si>
  <si>
    <t xml:space="preserve">-0,606 </t>
  </si>
  <si>
    <t>(2,296)</t>
  </si>
  <si>
    <t>5,464 **</t>
  </si>
  <si>
    <t>(2,161)</t>
  </si>
  <si>
    <t>(0,031)</t>
  </si>
  <si>
    <t xml:space="preserve">0,007 </t>
  </si>
  <si>
    <t>(0,049)</t>
  </si>
  <si>
    <t xml:space="preserve">-0,471 </t>
  </si>
  <si>
    <t>(1,365)</t>
  </si>
  <si>
    <t>52,455 **</t>
  </si>
  <si>
    <t>(22,259)</t>
  </si>
  <si>
    <t>16,332 ***</t>
  </si>
  <si>
    <t>(1,787)</t>
  </si>
  <si>
    <t xml:space="preserve">2,289 </t>
  </si>
  <si>
    <t>(1,633)</t>
  </si>
  <si>
    <t>-0,271 *</t>
  </si>
  <si>
    <t>(0,159)</t>
  </si>
  <si>
    <t xml:space="preserve">-0,011 </t>
  </si>
  <si>
    <t>2,303 **</t>
  </si>
  <si>
    <t>(0,969)</t>
  </si>
  <si>
    <t>17,498 ***</t>
  </si>
  <si>
    <t>(0,815)</t>
  </si>
  <si>
    <t>17,321 ***</t>
  </si>
  <si>
    <t>(1,868)</t>
  </si>
  <si>
    <t>0,006 **</t>
  </si>
  <si>
    <t xml:space="preserve">2,736 </t>
  </si>
  <si>
    <t>(1,664)</t>
  </si>
  <si>
    <t>-0,429 *</t>
  </si>
  <si>
    <t>(0,222)</t>
  </si>
  <si>
    <t xml:space="preserve">-0,01 </t>
  </si>
  <si>
    <t xml:space="preserve">-0,021 </t>
  </si>
  <si>
    <t>2,241 **</t>
  </si>
  <si>
    <t>(0,994)</t>
  </si>
  <si>
    <t>16,649 ***</t>
  </si>
  <si>
    <t>(0,904)</t>
  </si>
  <si>
    <t>16,697 ***</t>
  </si>
  <si>
    <t>(1,622)</t>
  </si>
  <si>
    <t>0,004 *</t>
  </si>
  <si>
    <t>(0,006)</t>
  </si>
  <si>
    <t>-2,081 **</t>
  </si>
  <si>
    <t>(1,021)</t>
  </si>
  <si>
    <t>2,039 *</t>
  </si>
  <si>
    <t>(1,086)</t>
  </si>
  <si>
    <t>16,98 ***</t>
  </si>
  <si>
    <t>(0,829)</t>
  </si>
  <si>
    <t>17,972 ***</t>
  </si>
  <si>
    <t>(1,715)</t>
  </si>
  <si>
    <t xml:space="preserve">-1,704 </t>
  </si>
  <si>
    <t>(1,092)</t>
  </si>
  <si>
    <t xml:space="preserve">1,624 </t>
  </si>
  <si>
    <t>(1,173)</t>
  </si>
  <si>
    <t>15,911 ***</t>
  </si>
  <si>
    <t>(0,907)</t>
  </si>
  <si>
    <t>16,605 ***</t>
  </si>
  <si>
    <t>(1,779)</t>
  </si>
  <si>
    <t>-0,001 *</t>
  </si>
  <si>
    <t>(0,005)</t>
  </si>
  <si>
    <t xml:space="preserve">2,45 </t>
  </si>
  <si>
    <t>(1,628)</t>
  </si>
  <si>
    <t>0,001 **</t>
  </si>
  <si>
    <t>0,002 *</t>
  </si>
  <si>
    <t xml:space="preserve">-0,012 </t>
  </si>
  <si>
    <t>2,212 **</t>
  </si>
  <si>
    <t>(0,947)</t>
  </si>
  <si>
    <t>17,198 ***</t>
  </si>
  <si>
    <t>(0,814)</t>
  </si>
  <si>
    <t>17,495 ***</t>
  </si>
  <si>
    <t>(1,876)</t>
  </si>
  <si>
    <t xml:space="preserve">0,006 </t>
  </si>
  <si>
    <t>2,908 *</t>
  </si>
  <si>
    <t>(1,668)</t>
  </si>
  <si>
    <t>2,12 **</t>
  </si>
  <si>
    <t>(0,985)</t>
  </si>
  <si>
    <t>16,266 ***</t>
  </si>
  <si>
    <t>(0,905)</t>
  </si>
  <si>
    <t>-0,368 **</t>
  </si>
  <si>
    <t>(0,162)</t>
  </si>
  <si>
    <t>0 **</t>
  </si>
  <si>
    <t>-0,002 ***</t>
  </si>
  <si>
    <t xml:space="preserve">-0,219 </t>
  </si>
  <si>
    <t>(0,143)</t>
  </si>
  <si>
    <t>-0,43 ***</t>
  </si>
  <si>
    <t>(0,119)</t>
  </si>
  <si>
    <t xml:space="preserve">-0,005 </t>
  </si>
  <si>
    <t>-0,857 ***</t>
  </si>
  <si>
    <t>(0,097)</t>
  </si>
  <si>
    <t>1,632 ***</t>
  </si>
  <si>
    <t>(0,106)</t>
  </si>
  <si>
    <t xml:space="preserve">-0,007 </t>
  </si>
  <si>
    <t>(0,087)</t>
  </si>
  <si>
    <t>0,245 ***</t>
  </si>
  <si>
    <t>(0,075)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</si>
</sst>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0" fillId="0" borderId="1" xfId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3" fillId="0" borderId="0" xfId="0" applyFont="1"/>
    <xf numFmtId="0" fontId="1" fillId="0" borderId="1" xfId="0" applyFont="1" applyBorder="1" applyAlignment="1">
      <alignment horizontal="left" vertical="top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left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48"/>
  <sheetViews>
    <sheetView showGridLines="0" zoomScale="96" zoomScaleNormal="117" workbookViewId="0"/>
  </sheetViews>
  <sheetFormatPr baseColWidth="10" defaultColWidth="9.140625" defaultRowHeight="15" x14ac:dyDescent="0.25"/>
  <cols>
    <col min="1" max="1" width="76.85546875" bestFit="1" customWidth="1"/>
    <col min="2" max="2" width="10.7109375" bestFit="1" customWidth="1"/>
    <col min="3" max="3" width="9.5703125" bestFit="1" customWidth="1"/>
    <col min="4" max="4" width="11.140625" bestFit="1" customWidth="1"/>
    <col min="5" max="5" width="9.5703125" bestFit="1" customWidth="1"/>
    <col min="6" max="6" width="9.28515625" bestFit="1" customWidth="1"/>
    <col min="7" max="7" width="9.5703125" bestFit="1" customWidth="1"/>
    <col min="8" max="8" width="10.28515625" bestFit="1" customWidth="1"/>
    <col min="9" max="9" width="9.5703125" bestFit="1" customWidth="1"/>
    <col min="10" max="10" width="10.28515625" bestFit="1" customWidth="1"/>
    <col min="11" max="11" width="9.5703125" bestFit="1" customWidth="1"/>
    <col min="12" max="12" width="10.7109375" bestFit="1" customWidth="1"/>
    <col min="13" max="13" width="9.5703125" bestFit="1" customWidth="1"/>
    <col min="14" max="14" width="10.7109375" bestFit="1" customWidth="1"/>
    <col min="15" max="15" width="10" bestFit="1" customWidth="1"/>
  </cols>
  <sheetData>
    <row r="1" spans="1:17" x14ac:dyDescent="0.25">
      <c r="A1" s="1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7" x14ac:dyDescent="0.25">
      <c r="A2" s="2" t="s">
        <v>15</v>
      </c>
      <c r="B2" s="4" t="s">
        <v>16</v>
      </c>
      <c r="C2" s="4" t="s">
        <v>16</v>
      </c>
      <c r="D2" s="4" t="s">
        <v>16</v>
      </c>
      <c r="E2" s="4" t="s">
        <v>16</v>
      </c>
      <c r="F2" s="4" t="s">
        <v>16</v>
      </c>
      <c r="G2" s="4" t="s">
        <v>16</v>
      </c>
      <c r="H2" s="4" t="s">
        <v>16</v>
      </c>
      <c r="I2" s="4" t="s">
        <v>16</v>
      </c>
      <c r="J2" s="4" t="s">
        <v>16</v>
      </c>
      <c r="K2" s="4" t="s">
        <v>16</v>
      </c>
      <c r="L2" s="4" t="s">
        <v>16</v>
      </c>
      <c r="M2" s="4" t="s">
        <v>16</v>
      </c>
      <c r="N2" s="4" t="s">
        <v>16</v>
      </c>
      <c r="O2" s="4" t="s">
        <v>16</v>
      </c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7" x14ac:dyDescent="0.25">
      <c r="A4" t="s">
        <v>17</v>
      </c>
      <c r="B4" s="8" t="s">
        <v>18</v>
      </c>
      <c r="C4" s="8" t="s">
        <v>18</v>
      </c>
      <c r="D4" s="8" t="s">
        <v>18</v>
      </c>
      <c r="E4" s="8" t="s">
        <v>18</v>
      </c>
      <c r="F4" s="8" t="s">
        <v>18</v>
      </c>
      <c r="G4" s="8" t="s">
        <v>18</v>
      </c>
      <c r="H4" s="8" t="s">
        <v>18</v>
      </c>
      <c r="I4" s="8" t="s">
        <v>18</v>
      </c>
      <c r="J4" s="8" t="s">
        <v>18</v>
      </c>
      <c r="K4" s="8" t="s">
        <v>18</v>
      </c>
      <c r="L4" s="8" t="s">
        <v>18</v>
      </c>
      <c r="M4" s="8" t="s">
        <v>18</v>
      </c>
      <c r="N4" s="8" t="s">
        <v>18</v>
      </c>
      <c r="O4" s="8" t="s">
        <v>18</v>
      </c>
    </row>
    <row r="5" spans="1:17" x14ac:dyDescent="0.25">
      <c r="A5" t="s">
        <v>19</v>
      </c>
      <c r="B5" s="6">
        <v>0.57399999999999995</v>
      </c>
      <c r="C5" s="6">
        <v>0.61599999999999999</v>
      </c>
      <c r="D5" s="6">
        <v>0.54800000000000004</v>
      </c>
      <c r="E5" s="6">
        <v>0.59399999999999997</v>
      </c>
      <c r="F5" s="6">
        <v>7.0999999999999994E-2</v>
      </c>
      <c r="G5" s="6">
        <v>0.26700000000000002</v>
      </c>
      <c r="H5" s="6">
        <v>4.1000000000000002E-2</v>
      </c>
      <c r="I5" s="6">
        <v>0.254</v>
      </c>
      <c r="J5" s="6">
        <v>0.55600000000000005</v>
      </c>
      <c r="K5" s="6">
        <v>0.60799999999999998</v>
      </c>
      <c r="L5" s="6">
        <v>0.55500000000000005</v>
      </c>
      <c r="M5" s="6">
        <v>0.60299999999999998</v>
      </c>
      <c r="N5" s="6">
        <v>0.55900000000000005</v>
      </c>
      <c r="O5" s="6">
        <v>0.60699999999999998</v>
      </c>
    </row>
    <row r="6" spans="1:17" x14ac:dyDescent="0.25">
      <c r="A6" s="3" t="s">
        <v>20</v>
      </c>
      <c r="B6" s="7">
        <v>0.55700000000000005</v>
      </c>
      <c r="C6" s="7">
        <v>0.57599999999999996</v>
      </c>
      <c r="D6" s="7">
        <v>0.54</v>
      </c>
      <c r="E6" s="7">
        <v>0.56200000000000006</v>
      </c>
      <c r="F6" s="7">
        <v>5.5E-2</v>
      </c>
      <c r="G6" s="7">
        <v>0.20899999999999999</v>
      </c>
      <c r="H6" s="7">
        <v>1.7000000000000001E-2</v>
      </c>
      <c r="I6" s="7">
        <v>0.188</v>
      </c>
      <c r="J6" s="7">
        <v>0.54500000000000004</v>
      </c>
      <c r="K6" s="7">
        <v>0.57299999999999995</v>
      </c>
      <c r="L6" s="7">
        <v>0.54600000000000004</v>
      </c>
      <c r="M6" s="7">
        <v>0.56999999999999995</v>
      </c>
      <c r="N6" s="7">
        <v>0.55000000000000004</v>
      </c>
      <c r="O6" s="7">
        <v>0.57399999999999995</v>
      </c>
    </row>
    <row r="7" spans="1:17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7" x14ac:dyDescent="0.25">
      <c r="A8" s="13" t="s">
        <v>31</v>
      </c>
      <c r="B8" s="17" t="s">
        <v>48</v>
      </c>
      <c r="C8" s="17" t="s">
        <v>77</v>
      </c>
      <c r="D8" s="17" t="s">
        <v>99</v>
      </c>
      <c r="E8" s="17" t="s">
        <v>108</v>
      </c>
      <c r="F8" s="17" t="s">
        <v>117</v>
      </c>
      <c r="G8" s="17" t="s">
        <v>129</v>
      </c>
      <c r="H8" s="17" t="s">
        <v>138</v>
      </c>
      <c r="I8" s="17" t="s">
        <v>153</v>
      </c>
      <c r="J8" s="17" t="s">
        <v>168</v>
      </c>
      <c r="K8" s="17" t="s">
        <v>179</v>
      </c>
      <c r="L8" s="17" t="s">
        <v>192</v>
      </c>
      <c r="M8" s="17" t="s">
        <v>202</v>
      </c>
      <c r="N8" s="17" t="s">
        <v>210</v>
      </c>
      <c r="O8" s="17" t="s">
        <v>223</v>
      </c>
    </row>
    <row r="9" spans="1:17" x14ac:dyDescent="0.25">
      <c r="A9" s="14"/>
      <c r="B9" s="16" t="s">
        <v>49</v>
      </c>
      <c r="C9" s="16" t="s">
        <v>78</v>
      </c>
      <c r="D9" s="16" t="s">
        <v>100</v>
      </c>
      <c r="E9" s="16" t="s">
        <v>109</v>
      </c>
      <c r="F9" s="16" t="s">
        <v>118</v>
      </c>
      <c r="G9" s="16" t="s">
        <v>130</v>
      </c>
      <c r="H9" s="16" t="s">
        <v>139</v>
      </c>
      <c r="I9" s="16" t="s">
        <v>154</v>
      </c>
      <c r="J9" s="16" t="s">
        <v>169</v>
      </c>
      <c r="K9" s="16" t="s">
        <v>180</v>
      </c>
      <c r="L9" s="16" t="s">
        <v>193</v>
      </c>
      <c r="M9" s="16" t="s">
        <v>203</v>
      </c>
      <c r="N9" s="16" t="s">
        <v>211</v>
      </c>
      <c r="O9" s="16" t="s">
        <v>224</v>
      </c>
    </row>
    <row r="10" spans="1:17" x14ac:dyDescent="0.25">
      <c r="A10" t="s">
        <v>32</v>
      </c>
      <c r="B10" s="17" t="s">
        <v>50</v>
      </c>
      <c r="C10" s="17" t="s">
        <v>50</v>
      </c>
      <c r="D10" s="17" t="s">
        <v>50</v>
      </c>
      <c r="E10" s="17" t="s">
        <v>60</v>
      </c>
      <c r="F10" s="17" t="s">
        <v>60</v>
      </c>
      <c r="G10" s="17" t="s">
        <v>60</v>
      </c>
      <c r="H10" s="17" t="s">
        <v>60</v>
      </c>
      <c r="I10" s="17" t="s">
        <v>60</v>
      </c>
      <c r="J10" s="17" t="s">
        <v>101</v>
      </c>
      <c r="K10" s="17" t="s">
        <v>101</v>
      </c>
      <c r="L10" s="17" t="s">
        <v>101</v>
      </c>
      <c r="M10" s="17" t="s">
        <v>101</v>
      </c>
      <c r="N10" s="17" t="s">
        <v>212</v>
      </c>
      <c r="O10" s="17" t="s">
        <v>50</v>
      </c>
    </row>
    <row r="11" spans="1:17" x14ac:dyDescent="0.25">
      <c r="B11" s="16" t="s">
        <v>51</v>
      </c>
      <c r="C11" s="16" t="s">
        <v>51</v>
      </c>
      <c r="D11" s="16" t="s">
        <v>59</v>
      </c>
      <c r="E11" s="16" t="s">
        <v>51</v>
      </c>
      <c r="F11" s="16" t="s">
        <v>51</v>
      </c>
      <c r="G11" s="16" t="s">
        <v>51</v>
      </c>
      <c r="H11" s="16" t="s">
        <v>51</v>
      </c>
      <c r="I11" s="16" t="s">
        <v>51</v>
      </c>
      <c r="J11" s="16" t="s">
        <v>59</v>
      </c>
      <c r="K11" s="16" t="s">
        <v>59</v>
      </c>
      <c r="L11" s="16" t="s">
        <v>59</v>
      </c>
      <c r="M11" s="16" t="s">
        <v>59</v>
      </c>
      <c r="N11" s="16" t="s">
        <v>59</v>
      </c>
      <c r="O11" s="16" t="s">
        <v>51</v>
      </c>
    </row>
    <row r="12" spans="1:17" x14ac:dyDescent="0.25">
      <c r="A12" s="15" t="s">
        <v>33</v>
      </c>
      <c r="B12" s="17" t="s">
        <v>52</v>
      </c>
      <c r="C12" s="17" t="s">
        <v>79</v>
      </c>
      <c r="D12" s="17" t="s">
        <v>101</v>
      </c>
      <c r="E12" s="17" t="s">
        <v>101</v>
      </c>
      <c r="F12" s="17" t="s">
        <v>119</v>
      </c>
      <c r="G12" s="17" t="s">
        <v>131</v>
      </c>
      <c r="H12" s="17" t="s">
        <v>101</v>
      </c>
      <c r="I12" s="17" t="s">
        <v>101</v>
      </c>
      <c r="J12" s="17" t="s">
        <v>79</v>
      </c>
      <c r="K12" s="17" t="s">
        <v>181</v>
      </c>
      <c r="L12" s="17" t="s">
        <v>194</v>
      </c>
      <c r="M12" s="17" t="s">
        <v>79</v>
      </c>
      <c r="N12" s="17" t="s">
        <v>194</v>
      </c>
      <c r="O12" s="17" t="s">
        <v>79</v>
      </c>
    </row>
    <row r="13" spans="1:17" x14ac:dyDescent="0.25">
      <c r="B13" s="16" t="s">
        <v>53</v>
      </c>
      <c r="C13" s="16" t="s">
        <v>53</v>
      </c>
      <c r="D13" s="16" t="s">
        <v>59</v>
      </c>
      <c r="E13" s="16" t="s">
        <v>59</v>
      </c>
      <c r="F13" s="16" t="s">
        <v>120</v>
      </c>
      <c r="G13" s="16" t="s">
        <v>120</v>
      </c>
      <c r="H13" s="16" t="s">
        <v>59</v>
      </c>
      <c r="I13" s="16" t="s">
        <v>59</v>
      </c>
      <c r="J13" s="16" t="s">
        <v>53</v>
      </c>
      <c r="K13" s="16" t="s">
        <v>53</v>
      </c>
      <c r="L13" s="16" t="s">
        <v>53</v>
      </c>
      <c r="M13" s="16" t="s">
        <v>53</v>
      </c>
      <c r="N13" s="16" t="s">
        <v>53</v>
      </c>
      <c r="O13" s="16" t="s">
        <v>53</v>
      </c>
    </row>
    <row r="14" spans="1:17" x14ac:dyDescent="0.25">
      <c r="A14" t="s">
        <v>34</v>
      </c>
      <c r="B14" s="17" t="s">
        <v>54</v>
      </c>
      <c r="C14" s="17" t="s">
        <v>65</v>
      </c>
      <c r="D14" s="17" t="s">
        <v>60</v>
      </c>
      <c r="E14" s="17" t="s">
        <v>65</v>
      </c>
      <c r="F14" s="17" t="s">
        <v>101</v>
      </c>
      <c r="G14" s="17" t="s">
        <v>101</v>
      </c>
      <c r="H14" s="17" t="s">
        <v>140</v>
      </c>
      <c r="I14" s="17" t="s">
        <v>155</v>
      </c>
      <c r="J14" s="17" t="s">
        <v>60</v>
      </c>
      <c r="K14" s="17" t="s">
        <v>65</v>
      </c>
      <c r="L14" s="17" t="s">
        <v>63</v>
      </c>
      <c r="M14" s="17" t="s">
        <v>162</v>
      </c>
      <c r="N14" s="17" t="s">
        <v>50</v>
      </c>
      <c r="O14" s="17" t="s">
        <v>225</v>
      </c>
    </row>
    <row r="15" spans="1:17" x14ac:dyDescent="0.25">
      <c r="B15" s="16" t="s">
        <v>55</v>
      </c>
      <c r="C15" s="16" t="s">
        <v>80</v>
      </c>
      <c r="D15" s="16" t="s">
        <v>55</v>
      </c>
      <c r="E15" s="16" t="s">
        <v>55</v>
      </c>
      <c r="F15" s="16" t="s">
        <v>59</v>
      </c>
      <c r="G15" s="16" t="s">
        <v>59</v>
      </c>
      <c r="H15" s="16" t="s">
        <v>141</v>
      </c>
      <c r="I15" s="16" t="s">
        <v>156</v>
      </c>
      <c r="J15" s="16" t="s">
        <v>55</v>
      </c>
      <c r="K15" s="16" t="s">
        <v>80</v>
      </c>
      <c r="L15" s="16" t="s">
        <v>195</v>
      </c>
      <c r="M15" s="16" t="s">
        <v>55</v>
      </c>
      <c r="N15" s="16" t="s">
        <v>213</v>
      </c>
      <c r="O15" s="16" t="s">
        <v>55</v>
      </c>
    </row>
    <row r="16" spans="1:17" x14ac:dyDescent="0.25">
      <c r="A16" t="s">
        <v>35</v>
      </c>
      <c r="B16" s="17" t="s">
        <v>56</v>
      </c>
      <c r="C16" s="17" t="s">
        <v>81</v>
      </c>
      <c r="D16" s="17" t="s">
        <v>101</v>
      </c>
      <c r="E16" s="17" t="s">
        <v>101</v>
      </c>
      <c r="F16" s="17" t="s">
        <v>121</v>
      </c>
      <c r="G16" s="17" t="s">
        <v>132</v>
      </c>
      <c r="H16" s="17" t="s">
        <v>142</v>
      </c>
      <c r="I16" s="17" t="s">
        <v>157</v>
      </c>
      <c r="J16" s="17" t="s">
        <v>170</v>
      </c>
      <c r="K16" s="17" t="s">
        <v>182</v>
      </c>
      <c r="L16" s="17" t="s">
        <v>101</v>
      </c>
      <c r="M16" s="17" t="s">
        <v>101</v>
      </c>
      <c r="N16" s="17" t="s">
        <v>214</v>
      </c>
      <c r="O16" s="17" t="s">
        <v>226</v>
      </c>
      <c r="Q16" s="11"/>
    </row>
    <row r="17" spans="1:15" x14ac:dyDescent="0.25">
      <c r="B17" s="16" t="s">
        <v>57</v>
      </c>
      <c r="C17" s="16" t="s">
        <v>82</v>
      </c>
      <c r="D17" s="16" t="s">
        <v>59</v>
      </c>
      <c r="E17" s="16" t="s">
        <v>59</v>
      </c>
      <c r="F17" s="16" t="s">
        <v>122</v>
      </c>
      <c r="G17" s="16" t="s">
        <v>133</v>
      </c>
      <c r="H17" s="16" t="s">
        <v>143</v>
      </c>
      <c r="I17" s="16" t="s">
        <v>158</v>
      </c>
      <c r="J17" s="16" t="s">
        <v>171</v>
      </c>
      <c r="K17" s="16" t="s">
        <v>183</v>
      </c>
      <c r="L17" s="16" t="s">
        <v>59</v>
      </c>
      <c r="M17" s="16" t="s">
        <v>59</v>
      </c>
      <c r="N17" s="16" t="s">
        <v>215</v>
      </c>
      <c r="O17" s="16" t="s">
        <v>227</v>
      </c>
    </row>
    <row r="18" spans="1:15" x14ac:dyDescent="0.25">
      <c r="A18" t="s">
        <v>36</v>
      </c>
      <c r="B18" s="17" t="s">
        <v>58</v>
      </c>
      <c r="C18" s="17" t="s">
        <v>60</v>
      </c>
      <c r="D18" s="17" t="s">
        <v>101</v>
      </c>
      <c r="E18" s="17" t="s">
        <v>101</v>
      </c>
      <c r="F18" s="17" t="s">
        <v>101</v>
      </c>
      <c r="G18" s="17" t="s">
        <v>101</v>
      </c>
      <c r="H18" s="17" t="s">
        <v>101</v>
      </c>
      <c r="I18" s="17" t="s">
        <v>101</v>
      </c>
      <c r="J18" s="17" t="s">
        <v>101</v>
      </c>
      <c r="K18" s="17" t="s">
        <v>101</v>
      </c>
      <c r="L18" s="17" t="s">
        <v>58</v>
      </c>
      <c r="M18" s="17" t="s">
        <v>60</v>
      </c>
      <c r="N18" s="17" t="s">
        <v>216</v>
      </c>
      <c r="O18" s="17" t="s">
        <v>58</v>
      </c>
    </row>
    <row r="19" spans="1:15" x14ac:dyDescent="0.25">
      <c r="B19" s="16" t="s">
        <v>59</v>
      </c>
      <c r="C19" s="16" t="s">
        <v>59</v>
      </c>
      <c r="D19" s="16" t="s">
        <v>59</v>
      </c>
      <c r="E19" s="16" t="s">
        <v>59</v>
      </c>
      <c r="F19" s="16" t="s">
        <v>59</v>
      </c>
      <c r="G19" s="16" t="s">
        <v>59</v>
      </c>
      <c r="H19" s="16" t="s">
        <v>59</v>
      </c>
      <c r="I19" s="16" t="s">
        <v>59</v>
      </c>
      <c r="J19" s="16" t="s">
        <v>59</v>
      </c>
      <c r="K19" s="16" t="s">
        <v>59</v>
      </c>
      <c r="L19" s="16" t="s">
        <v>59</v>
      </c>
      <c r="M19" s="16" t="s">
        <v>59</v>
      </c>
      <c r="N19" s="16" t="s">
        <v>59</v>
      </c>
      <c r="O19" s="16" t="s">
        <v>59</v>
      </c>
    </row>
    <row r="20" spans="1:15" x14ac:dyDescent="0.25">
      <c r="A20" t="s">
        <v>37</v>
      </c>
      <c r="B20" s="17" t="s">
        <v>60</v>
      </c>
      <c r="C20" s="17" t="s">
        <v>60</v>
      </c>
      <c r="D20" s="17" t="s">
        <v>60</v>
      </c>
      <c r="E20" s="17" t="s">
        <v>60</v>
      </c>
      <c r="F20" s="17" t="s">
        <v>101</v>
      </c>
      <c r="G20" s="17" t="s">
        <v>101</v>
      </c>
      <c r="H20" s="17" t="s">
        <v>101</v>
      </c>
      <c r="I20" s="17" t="s">
        <v>101</v>
      </c>
      <c r="J20" s="17" t="s">
        <v>60</v>
      </c>
      <c r="K20" s="17" t="s">
        <v>60</v>
      </c>
      <c r="L20" s="17" t="s">
        <v>101</v>
      </c>
      <c r="M20" s="17" t="s">
        <v>101</v>
      </c>
      <c r="N20" s="17" t="s">
        <v>101</v>
      </c>
      <c r="O20" s="17" t="s">
        <v>101</v>
      </c>
    </row>
    <row r="21" spans="1:15" x14ac:dyDescent="0.25">
      <c r="B21" s="16" t="s">
        <v>59</v>
      </c>
      <c r="C21" s="16" t="s">
        <v>59</v>
      </c>
      <c r="D21" s="16" t="s">
        <v>59</v>
      </c>
      <c r="E21" s="16" t="s">
        <v>59</v>
      </c>
      <c r="F21" s="16" t="s">
        <v>59</v>
      </c>
      <c r="G21" s="16" t="s">
        <v>59</v>
      </c>
      <c r="H21" s="16" t="s">
        <v>59</v>
      </c>
      <c r="I21" s="16" t="s">
        <v>59</v>
      </c>
      <c r="J21" s="16" t="s">
        <v>59</v>
      </c>
      <c r="K21" s="16" t="s">
        <v>59</v>
      </c>
      <c r="L21" s="16" t="s">
        <v>59</v>
      </c>
      <c r="M21" s="16" t="s">
        <v>59</v>
      </c>
      <c r="N21" s="16" t="s">
        <v>59</v>
      </c>
      <c r="O21" s="16" t="s">
        <v>59</v>
      </c>
    </row>
    <row r="22" spans="1:15" x14ac:dyDescent="0.25">
      <c r="A22" t="s">
        <v>38</v>
      </c>
      <c r="B22" s="17" t="s">
        <v>61</v>
      </c>
      <c r="C22" s="17" t="s">
        <v>83</v>
      </c>
      <c r="D22" s="17" t="s">
        <v>101</v>
      </c>
      <c r="E22" s="17" t="s">
        <v>101</v>
      </c>
      <c r="F22" s="17" t="s">
        <v>101</v>
      </c>
      <c r="G22" s="17" t="s">
        <v>101</v>
      </c>
      <c r="H22" s="17" t="s">
        <v>144</v>
      </c>
      <c r="I22" s="17" t="s">
        <v>159</v>
      </c>
      <c r="J22" s="17" t="s">
        <v>172</v>
      </c>
      <c r="K22" s="17" t="s">
        <v>184</v>
      </c>
      <c r="L22" s="17" t="s">
        <v>101</v>
      </c>
      <c r="M22" s="17" t="s">
        <v>101</v>
      </c>
      <c r="N22" s="17" t="s">
        <v>101</v>
      </c>
      <c r="O22" s="17" t="s">
        <v>101</v>
      </c>
    </row>
    <row r="23" spans="1:15" x14ac:dyDescent="0.25">
      <c r="B23" s="16" t="s">
        <v>62</v>
      </c>
      <c r="C23" s="16" t="s">
        <v>84</v>
      </c>
      <c r="D23" s="16" t="s">
        <v>59</v>
      </c>
      <c r="E23" s="16" t="s">
        <v>59</v>
      </c>
      <c r="F23" s="16" t="s">
        <v>59</v>
      </c>
      <c r="G23" s="16" t="s">
        <v>59</v>
      </c>
      <c r="H23" s="16" t="s">
        <v>145</v>
      </c>
      <c r="I23" s="16" t="s">
        <v>160</v>
      </c>
      <c r="J23" s="16" t="s">
        <v>173</v>
      </c>
      <c r="K23" s="16" t="s">
        <v>185</v>
      </c>
      <c r="L23" s="16" t="s">
        <v>59</v>
      </c>
      <c r="M23" s="16" t="s">
        <v>59</v>
      </c>
      <c r="N23" s="16" t="s">
        <v>59</v>
      </c>
      <c r="O23" s="16" t="s">
        <v>59</v>
      </c>
    </row>
    <row r="24" spans="1:15" x14ac:dyDescent="0.25">
      <c r="A24" t="s">
        <v>39</v>
      </c>
      <c r="B24" s="17" t="s">
        <v>63</v>
      </c>
      <c r="C24" s="17" t="s">
        <v>85</v>
      </c>
      <c r="D24" s="17" t="s">
        <v>101</v>
      </c>
      <c r="E24" s="17" t="s">
        <v>101</v>
      </c>
      <c r="F24" s="17" t="s">
        <v>123</v>
      </c>
      <c r="G24" s="17" t="s">
        <v>123</v>
      </c>
      <c r="H24" s="17" t="s">
        <v>123</v>
      </c>
      <c r="I24" s="17" t="s">
        <v>123</v>
      </c>
      <c r="J24" s="17" t="s">
        <v>63</v>
      </c>
      <c r="K24" s="17" t="s">
        <v>85</v>
      </c>
      <c r="L24" s="17" t="s">
        <v>85</v>
      </c>
      <c r="M24" s="17" t="s">
        <v>85</v>
      </c>
      <c r="N24" s="17" t="s">
        <v>217</v>
      </c>
      <c r="O24" s="17" t="s">
        <v>85</v>
      </c>
    </row>
    <row r="25" spans="1:15" x14ac:dyDescent="0.25">
      <c r="B25" s="16" t="s">
        <v>51</v>
      </c>
      <c r="C25" s="16" t="s">
        <v>51</v>
      </c>
      <c r="D25" s="16" t="s">
        <v>59</v>
      </c>
      <c r="E25" s="16" t="s">
        <v>59</v>
      </c>
      <c r="F25" s="16" t="s">
        <v>53</v>
      </c>
      <c r="G25" s="16" t="s">
        <v>53</v>
      </c>
      <c r="H25" s="16" t="s">
        <v>53</v>
      </c>
      <c r="I25" s="16" t="s">
        <v>53</v>
      </c>
      <c r="J25" s="16" t="s">
        <v>51</v>
      </c>
      <c r="K25" s="16" t="s">
        <v>51</v>
      </c>
      <c r="L25" s="16" t="s">
        <v>51</v>
      </c>
      <c r="M25" s="16" t="s">
        <v>51</v>
      </c>
      <c r="N25" s="16" t="s">
        <v>51</v>
      </c>
      <c r="O25" s="16" t="s">
        <v>51</v>
      </c>
    </row>
    <row r="26" spans="1:15" x14ac:dyDescent="0.25">
      <c r="A26" t="s">
        <v>40</v>
      </c>
      <c r="B26" s="17" t="s">
        <v>50</v>
      </c>
      <c r="C26" s="17" t="s">
        <v>86</v>
      </c>
      <c r="D26" s="17" t="s">
        <v>86</v>
      </c>
      <c r="E26" s="17" t="s">
        <v>87</v>
      </c>
      <c r="F26" s="17" t="s">
        <v>124</v>
      </c>
      <c r="G26" s="17" t="s">
        <v>134</v>
      </c>
      <c r="H26" s="17" t="s">
        <v>146</v>
      </c>
      <c r="I26" s="17" t="s">
        <v>134</v>
      </c>
      <c r="J26" s="17" t="s">
        <v>174</v>
      </c>
      <c r="K26" s="17" t="s">
        <v>186</v>
      </c>
      <c r="L26" s="17" t="s">
        <v>101</v>
      </c>
      <c r="M26" s="17" t="s">
        <v>101</v>
      </c>
      <c r="N26" s="17" t="s">
        <v>218</v>
      </c>
      <c r="O26" s="17" t="s">
        <v>218</v>
      </c>
    </row>
    <row r="27" spans="1:15" x14ac:dyDescent="0.25">
      <c r="B27" s="16" t="s">
        <v>64</v>
      </c>
      <c r="C27" s="16" t="s">
        <v>64</v>
      </c>
      <c r="D27" s="16" t="s">
        <v>64</v>
      </c>
      <c r="E27" s="16" t="s">
        <v>110</v>
      </c>
      <c r="F27" s="16" t="s">
        <v>125</v>
      </c>
      <c r="G27" s="16" t="s">
        <v>135</v>
      </c>
      <c r="H27" s="16" t="s">
        <v>147</v>
      </c>
      <c r="I27" s="16" t="s">
        <v>161</v>
      </c>
      <c r="J27" s="16" t="s">
        <v>64</v>
      </c>
      <c r="K27" s="16" t="s">
        <v>64</v>
      </c>
      <c r="L27" s="16" t="s">
        <v>59</v>
      </c>
      <c r="M27" s="16" t="s">
        <v>59</v>
      </c>
      <c r="N27" s="16" t="s">
        <v>64</v>
      </c>
      <c r="O27" s="16" t="s">
        <v>64</v>
      </c>
    </row>
    <row r="28" spans="1:15" x14ac:dyDescent="0.25">
      <c r="A28" t="s">
        <v>41</v>
      </c>
      <c r="B28" s="17" t="s">
        <v>65</v>
      </c>
      <c r="C28" s="17" t="s">
        <v>87</v>
      </c>
      <c r="D28" s="17" t="s">
        <v>101</v>
      </c>
      <c r="E28" s="17" t="s">
        <v>101</v>
      </c>
      <c r="F28" s="17" t="s">
        <v>101</v>
      </c>
      <c r="G28" s="17" t="s">
        <v>101</v>
      </c>
      <c r="H28" s="17" t="s">
        <v>128</v>
      </c>
      <c r="I28" s="17" t="s">
        <v>162</v>
      </c>
      <c r="J28" s="17" t="s">
        <v>86</v>
      </c>
      <c r="K28" s="17" t="s">
        <v>187</v>
      </c>
      <c r="L28" s="17" t="s">
        <v>101</v>
      </c>
      <c r="M28" s="17" t="s">
        <v>101</v>
      </c>
      <c r="N28" s="17" t="s">
        <v>101</v>
      </c>
      <c r="O28" s="17" t="s">
        <v>101</v>
      </c>
    </row>
    <row r="29" spans="1:15" x14ac:dyDescent="0.25">
      <c r="B29" s="16" t="s">
        <v>66</v>
      </c>
      <c r="C29" s="16" t="s">
        <v>88</v>
      </c>
      <c r="D29" s="16" t="s">
        <v>59</v>
      </c>
      <c r="E29" s="16" t="s">
        <v>59</v>
      </c>
      <c r="F29" s="16" t="s">
        <v>59</v>
      </c>
      <c r="G29" s="16" t="s">
        <v>59</v>
      </c>
      <c r="H29" s="16" t="s">
        <v>148</v>
      </c>
      <c r="I29" s="16" t="s">
        <v>163</v>
      </c>
      <c r="J29" s="16" t="s">
        <v>66</v>
      </c>
      <c r="K29" s="16" t="s">
        <v>66</v>
      </c>
      <c r="L29" s="16" t="s">
        <v>59</v>
      </c>
      <c r="M29" s="16" t="s">
        <v>59</v>
      </c>
      <c r="N29" s="16" t="s">
        <v>59</v>
      </c>
      <c r="O29" s="16" t="s">
        <v>59</v>
      </c>
    </row>
    <row r="30" spans="1:15" x14ac:dyDescent="0.25">
      <c r="A30" t="s">
        <v>42</v>
      </c>
      <c r="B30" s="17" t="s">
        <v>67</v>
      </c>
      <c r="C30" s="17" t="s">
        <v>89</v>
      </c>
      <c r="D30" s="17" t="s">
        <v>101</v>
      </c>
      <c r="E30" s="17" t="s">
        <v>101</v>
      </c>
      <c r="F30" s="17" t="s">
        <v>101</v>
      </c>
      <c r="G30" s="17" t="s">
        <v>101</v>
      </c>
      <c r="H30" s="17" t="s">
        <v>101</v>
      </c>
      <c r="I30" s="17" t="s">
        <v>101</v>
      </c>
      <c r="J30" s="17" t="s">
        <v>101</v>
      </c>
      <c r="K30" s="17" t="s">
        <v>101</v>
      </c>
      <c r="L30" s="17" t="s">
        <v>196</v>
      </c>
      <c r="M30" s="17" t="s">
        <v>204</v>
      </c>
      <c r="N30" s="17" t="s">
        <v>101</v>
      </c>
      <c r="O30" s="17" t="s">
        <v>101</v>
      </c>
    </row>
    <row r="31" spans="1:15" x14ac:dyDescent="0.25">
      <c r="B31" s="16" t="s">
        <v>68</v>
      </c>
      <c r="C31" s="16" t="s">
        <v>90</v>
      </c>
      <c r="D31" s="16" t="s">
        <v>59</v>
      </c>
      <c r="E31" s="16" t="s">
        <v>59</v>
      </c>
      <c r="F31" s="16" t="s">
        <v>59</v>
      </c>
      <c r="G31" s="16" t="s">
        <v>59</v>
      </c>
      <c r="H31" s="16" t="s">
        <v>59</v>
      </c>
      <c r="I31" s="16" t="s">
        <v>59</v>
      </c>
      <c r="J31" s="16" t="s">
        <v>59</v>
      </c>
      <c r="K31" s="16" t="s">
        <v>59</v>
      </c>
      <c r="L31" s="16" t="s">
        <v>197</v>
      </c>
      <c r="M31" s="16" t="s">
        <v>205</v>
      </c>
      <c r="N31" s="16" t="s">
        <v>59</v>
      </c>
      <c r="O31" s="16" t="s">
        <v>59</v>
      </c>
    </row>
    <row r="32" spans="1:15" x14ac:dyDescent="0.25">
      <c r="A32" t="s">
        <v>43</v>
      </c>
      <c r="B32" s="17" t="s">
        <v>69</v>
      </c>
      <c r="C32" s="17" t="s">
        <v>91</v>
      </c>
      <c r="D32" s="17" t="s">
        <v>102</v>
      </c>
      <c r="E32" s="17" t="s">
        <v>111</v>
      </c>
      <c r="F32" s="17" t="s">
        <v>126</v>
      </c>
      <c r="G32" s="17" t="s">
        <v>136</v>
      </c>
      <c r="H32" s="17" t="s">
        <v>101</v>
      </c>
      <c r="I32" s="17" t="s">
        <v>101</v>
      </c>
      <c r="J32" s="17" t="s">
        <v>101</v>
      </c>
      <c r="K32" s="17" t="s">
        <v>101</v>
      </c>
      <c r="L32" s="17" t="s">
        <v>198</v>
      </c>
      <c r="M32" s="17" t="s">
        <v>206</v>
      </c>
      <c r="N32" s="17" t="s">
        <v>101</v>
      </c>
      <c r="O32" s="17" t="s">
        <v>101</v>
      </c>
    </row>
    <row r="33" spans="1:15" x14ac:dyDescent="0.25">
      <c r="B33" s="16" t="s">
        <v>70</v>
      </c>
      <c r="C33" s="16" t="s">
        <v>92</v>
      </c>
      <c r="D33" s="16" t="s">
        <v>103</v>
      </c>
      <c r="E33" s="16" t="s">
        <v>112</v>
      </c>
      <c r="F33" s="16" t="s">
        <v>127</v>
      </c>
      <c r="G33" s="16" t="s">
        <v>137</v>
      </c>
      <c r="H33" s="16" t="s">
        <v>59</v>
      </c>
      <c r="I33" s="16" t="s">
        <v>59</v>
      </c>
      <c r="J33" s="16" t="s">
        <v>59</v>
      </c>
      <c r="K33" s="16" t="s">
        <v>59</v>
      </c>
      <c r="L33" s="16" t="s">
        <v>199</v>
      </c>
      <c r="M33" s="16" t="s">
        <v>207</v>
      </c>
      <c r="N33" s="16" t="s">
        <v>59</v>
      </c>
      <c r="O33" s="16" t="s">
        <v>59</v>
      </c>
    </row>
    <row r="34" spans="1:15" x14ac:dyDescent="0.25">
      <c r="A34" t="s">
        <v>44</v>
      </c>
      <c r="B34" s="17" t="s">
        <v>71</v>
      </c>
      <c r="C34" s="17" t="s">
        <v>93</v>
      </c>
      <c r="D34" s="17" t="s">
        <v>104</v>
      </c>
      <c r="E34" s="17" t="s">
        <v>113</v>
      </c>
      <c r="F34" s="17" t="s">
        <v>101</v>
      </c>
      <c r="G34" s="17" t="s">
        <v>101</v>
      </c>
      <c r="H34" s="17" t="s">
        <v>149</v>
      </c>
      <c r="I34" s="17" t="s">
        <v>164</v>
      </c>
      <c r="J34" s="17" t="s">
        <v>175</v>
      </c>
      <c r="K34" s="17" t="s">
        <v>188</v>
      </c>
      <c r="L34" s="17" t="s">
        <v>101</v>
      </c>
      <c r="M34" s="17" t="s">
        <v>101</v>
      </c>
      <c r="N34" s="17" t="s">
        <v>219</v>
      </c>
      <c r="O34" s="17" t="s">
        <v>228</v>
      </c>
    </row>
    <row r="35" spans="1:15" x14ac:dyDescent="0.25">
      <c r="B35" s="16" t="s">
        <v>72</v>
      </c>
      <c r="C35" s="16" t="s">
        <v>94</v>
      </c>
      <c r="D35" s="16" t="s">
        <v>105</v>
      </c>
      <c r="E35" s="16" t="s">
        <v>114</v>
      </c>
      <c r="F35" s="16" t="s">
        <v>59</v>
      </c>
      <c r="G35" s="16" t="s">
        <v>59</v>
      </c>
      <c r="H35" s="16" t="s">
        <v>150</v>
      </c>
      <c r="I35" s="16" t="s">
        <v>165</v>
      </c>
      <c r="J35" s="16" t="s">
        <v>176</v>
      </c>
      <c r="K35" s="16" t="s">
        <v>189</v>
      </c>
      <c r="L35" s="16" t="s">
        <v>59</v>
      </c>
      <c r="M35" s="16" t="s">
        <v>59</v>
      </c>
      <c r="N35" s="16" t="s">
        <v>220</v>
      </c>
      <c r="O35" s="16" t="s">
        <v>229</v>
      </c>
    </row>
    <row r="36" spans="1:15" x14ac:dyDescent="0.25">
      <c r="A36" t="s">
        <v>45</v>
      </c>
      <c r="B36" s="17" t="s">
        <v>73</v>
      </c>
      <c r="C36" s="17" t="s">
        <v>95</v>
      </c>
      <c r="D36" s="17" t="s">
        <v>106</v>
      </c>
      <c r="E36" s="17" t="s">
        <v>115</v>
      </c>
      <c r="F36" s="17" t="s">
        <v>101</v>
      </c>
      <c r="G36" s="17" t="s">
        <v>101</v>
      </c>
      <c r="H36" s="17" t="s">
        <v>101</v>
      </c>
      <c r="I36" s="17" t="s">
        <v>101</v>
      </c>
      <c r="J36" s="17" t="s">
        <v>177</v>
      </c>
      <c r="K36" s="17" t="s">
        <v>190</v>
      </c>
      <c r="L36" s="17" t="s">
        <v>200</v>
      </c>
      <c r="M36" s="17" t="s">
        <v>208</v>
      </c>
      <c r="N36" s="17" t="s">
        <v>221</v>
      </c>
      <c r="O36" s="17" t="s">
        <v>230</v>
      </c>
    </row>
    <row r="37" spans="1:15" x14ac:dyDescent="0.25">
      <c r="B37" s="16" t="s">
        <v>74</v>
      </c>
      <c r="C37" s="16" t="s">
        <v>96</v>
      </c>
      <c r="D37" s="16" t="s">
        <v>107</v>
      </c>
      <c r="E37" s="16" t="s">
        <v>116</v>
      </c>
      <c r="F37" s="16" t="s">
        <v>59</v>
      </c>
      <c r="G37" s="16" t="s">
        <v>59</v>
      </c>
      <c r="H37" s="16" t="s">
        <v>59</v>
      </c>
      <c r="I37" s="16" t="s">
        <v>59</v>
      </c>
      <c r="J37" s="16" t="s">
        <v>178</v>
      </c>
      <c r="K37" s="16" t="s">
        <v>191</v>
      </c>
      <c r="L37" s="16" t="s">
        <v>201</v>
      </c>
      <c r="M37" s="16" t="s">
        <v>209</v>
      </c>
      <c r="N37" s="16" t="s">
        <v>222</v>
      </c>
      <c r="O37" s="16" t="s">
        <v>231</v>
      </c>
    </row>
    <row r="38" spans="1:15" x14ac:dyDescent="0.25">
      <c r="A38" t="s">
        <v>46</v>
      </c>
      <c r="B38" s="17" t="s">
        <v>75</v>
      </c>
      <c r="C38" s="17" t="s">
        <v>97</v>
      </c>
      <c r="D38" s="17" t="s">
        <v>101</v>
      </c>
      <c r="E38" s="17" t="s">
        <v>101</v>
      </c>
      <c r="F38" s="17" t="s">
        <v>101</v>
      </c>
      <c r="G38" s="17" t="s">
        <v>101</v>
      </c>
      <c r="H38" s="17" t="s">
        <v>151</v>
      </c>
      <c r="I38" s="17" t="s">
        <v>166</v>
      </c>
      <c r="J38" s="17" t="s">
        <v>101</v>
      </c>
      <c r="K38" s="17" t="s">
        <v>101</v>
      </c>
      <c r="L38" s="17" t="s">
        <v>101</v>
      </c>
      <c r="M38" s="17" t="s">
        <v>101</v>
      </c>
      <c r="N38" s="17" t="s">
        <v>101</v>
      </c>
      <c r="O38" s="17" t="s">
        <v>101</v>
      </c>
    </row>
    <row r="39" spans="1:15" x14ac:dyDescent="0.25">
      <c r="B39" s="16" t="s">
        <v>76</v>
      </c>
      <c r="C39" s="16" t="s">
        <v>98</v>
      </c>
      <c r="D39" s="16" t="s">
        <v>59</v>
      </c>
      <c r="E39" s="16" t="s">
        <v>59</v>
      </c>
      <c r="F39" s="16" t="s">
        <v>59</v>
      </c>
      <c r="G39" s="16" t="s">
        <v>59</v>
      </c>
      <c r="H39" s="16" t="s">
        <v>152</v>
      </c>
      <c r="I39" s="16" t="s">
        <v>167</v>
      </c>
      <c r="J39" s="16" t="s">
        <v>59</v>
      </c>
      <c r="K39" s="16" t="s">
        <v>59</v>
      </c>
      <c r="L39" s="16" t="s">
        <v>59</v>
      </c>
      <c r="M39" s="16" t="s">
        <v>59</v>
      </c>
      <c r="N39" s="16" t="s">
        <v>59</v>
      </c>
      <c r="O39" s="16" t="s">
        <v>59</v>
      </c>
    </row>
    <row r="40" spans="1:15" x14ac:dyDescent="0.25">
      <c r="A40" t="s">
        <v>47</v>
      </c>
      <c r="B40" s="17" t="s">
        <v>54</v>
      </c>
      <c r="C40" s="17" t="s">
        <v>54</v>
      </c>
      <c r="D40" s="17" t="s">
        <v>101</v>
      </c>
      <c r="E40" s="17" t="s">
        <v>101</v>
      </c>
      <c r="F40" s="17" t="s">
        <v>128</v>
      </c>
      <c r="G40" s="17" t="s">
        <v>63</v>
      </c>
      <c r="H40" s="17" t="s">
        <v>63</v>
      </c>
      <c r="I40" s="17" t="s">
        <v>128</v>
      </c>
      <c r="J40" s="17" t="s">
        <v>101</v>
      </c>
      <c r="K40" s="17" t="s">
        <v>101</v>
      </c>
      <c r="L40" s="17" t="s">
        <v>63</v>
      </c>
      <c r="M40" s="17" t="s">
        <v>63</v>
      </c>
      <c r="N40" s="17" t="s">
        <v>101</v>
      </c>
      <c r="O40" s="17" t="s">
        <v>101</v>
      </c>
    </row>
    <row r="41" spans="1:15" x14ac:dyDescent="0.25">
      <c r="B41" s="16" t="s">
        <v>53</v>
      </c>
      <c r="C41" s="16" t="s">
        <v>53</v>
      </c>
      <c r="D41" s="16" t="s">
        <v>59</v>
      </c>
      <c r="E41" s="16" t="s">
        <v>59</v>
      </c>
      <c r="F41" s="16" t="s">
        <v>53</v>
      </c>
      <c r="G41" s="16" t="s">
        <v>53</v>
      </c>
      <c r="H41" s="16" t="s">
        <v>53</v>
      </c>
      <c r="I41" s="16" t="s">
        <v>53</v>
      </c>
      <c r="J41" s="16" t="s">
        <v>59</v>
      </c>
      <c r="K41" s="16" t="s">
        <v>59</v>
      </c>
      <c r="L41" s="16" t="s">
        <v>53</v>
      </c>
      <c r="M41" s="16" t="s">
        <v>53</v>
      </c>
      <c r="N41" s="16" t="s">
        <v>59</v>
      </c>
      <c r="O41" s="16" t="s">
        <v>59</v>
      </c>
    </row>
    <row r="42" spans="1:1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 t="s">
        <v>21</v>
      </c>
      <c r="B43" s="4" t="s">
        <v>22</v>
      </c>
      <c r="C43" s="4" t="s">
        <v>23</v>
      </c>
      <c r="D43" s="4" t="s">
        <v>22</v>
      </c>
      <c r="E43" s="4" t="s">
        <v>23</v>
      </c>
      <c r="F43" s="4" t="s">
        <v>22</v>
      </c>
      <c r="G43" s="4" t="s">
        <v>23</v>
      </c>
      <c r="H43" s="4" t="s">
        <v>22</v>
      </c>
      <c r="I43" s="4" t="s">
        <v>23</v>
      </c>
      <c r="J43" s="4" t="s">
        <v>22</v>
      </c>
      <c r="K43" s="4" t="s">
        <v>23</v>
      </c>
      <c r="L43" s="4" t="s">
        <v>22</v>
      </c>
      <c r="M43" s="4" t="s">
        <v>23</v>
      </c>
      <c r="N43" s="4" t="s">
        <v>22</v>
      </c>
      <c r="O43" s="4" t="s">
        <v>23</v>
      </c>
    </row>
    <row r="44" spans="1:1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t="s">
        <v>24</v>
      </c>
      <c r="B45" s="5">
        <v>686.33</v>
      </c>
      <c r="C45" s="5">
        <v>76.040000000000006</v>
      </c>
      <c r="D45" s="5">
        <v>686.59</v>
      </c>
      <c r="E45" s="5">
        <v>73.91</v>
      </c>
      <c r="F45" s="5">
        <v>50.26</v>
      </c>
      <c r="G45" s="5">
        <v>66.900000000000006</v>
      </c>
      <c r="H45" s="5">
        <v>239.33</v>
      </c>
      <c r="I45" s="5">
        <v>69.33</v>
      </c>
      <c r="J45" s="5">
        <v>493.18</v>
      </c>
      <c r="K45" s="5">
        <v>69.87</v>
      </c>
      <c r="L45" s="5">
        <v>889.31</v>
      </c>
      <c r="M45" s="5">
        <v>72.87</v>
      </c>
      <c r="N45" s="5">
        <v>538.41</v>
      </c>
      <c r="O45" s="5">
        <v>72.67</v>
      </c>
    </row>
    <row r="46" spans="1:15" x14ac:dyDescent="0.25">
      <c r="A46" t="s">
        <v>25</v>
      </c>
      <c r="B46" s="5">
        <v>2731.53</v>
      </c>
      <c r="C46" s="5">
        <v>231.25</v>
      </c>
      <c r="D46" s="5">
        <v>2640.27</v>
      </c>
      <c r="E46" s="5">
        <v>214.97</v>
      </c>
      <c r="F46" s="5">
        <v>189.12</v>
      </c>
      <c r="G46" s="5">
        <v>195.64</v>
      </c>
      <c r="H46" s="5">
        <v>1150.83</v>
      </c>
      <c r="I46" s="5">
        <v>198.43</v>
      </c>
      <c r="J46" s="5">
        <v>2616.71</v>
      </c>
      <c r="K46" s="5">
        <v>221.47</v>
      </c>
      <c r="L46" s="5">
        <v>2518.0700000000002</v>
      </c>
      <c r="M46" s="5">
        <v>194.64</v>
      </c>
      <c r="N46" s="5">
        <v>2618.02</v>
      </c>
      <c r="O46" s="5">
        <v>224.64</v>
      </c>
    </row>
    <row r="47" spans="1:15" x14ac:dyDescent="0.25">
      <c r="A47" t="s">
        <v>26</v>
      </c>
      <c r="B47" s="6">
        <v>0.6470588235294118</v>
      </c>
      <c r="C47" s="6">
        <v>0.69047619047619047</v>
      </c>
      <c r="D47" s="6">
        <v>0.625</v>
      </c>
      <c r="E47" s="6">
        <v>0.75757575757575757</v>
      </c>
      <c r="F47" s="6">
        <v>0.5</v>
      </c>
      <c r="G47" s="6">
        <v>0.75757575757575757</v>
      </c>
      <c r="H47" s="6">
        <v>0.54545454545454541</v>
      </c>
      <c r="I47" s="6">
        <v>0.75</v>
      </c>
      <c r="J47" s="6">
        <v>0.45454545454545447</v>
      </c>
      <c r="K47" s="6">
        <v>0.69444444444444442</v>
      </c>
      <c r="L47" s="6">
        <v>0.77777777777777779</v>
      </c>
      <c r="M47" s="6">
        <v>0.79411764705882348</v>
      </c>
      <c r="N47" s="6">
        <v>0.5</v>
      </c>
      <c r="O47" s="6">
        <v>0.7142857142857143</v>
      </c>
    </row>
    <row r="48" spans="1:15" x14ac:dyDescent="0.25">
      <c r="A48" s="3" t="s">
        <v>27</v>
      </c>
      <c r="B48" s="7">
        <v>0.35294117647058831</v>
      </c>
      <c r="C48" s="7">
        <v>0.54761904761904767</v>
      </c>
      <c r="D48" s="7">
        <v>0.25</v>
      </c>
      <c r="E48" s="7">
        <v>0.54545454545454541</v>
      </c>
      <c r="F48" s="7">
        <v>0.25</v>
      </c>
      <c r="G48" s="7">
        <v>0.54545454545454541</v>
      </c>
      <c r="H48" s="7">
        <v>0.1818181818181818</v>
      </c>
      <c r="I48" s="7">
        <v>0.52777777777777779</v>
      </c>
      <c r="J48" s="7">
        <v>0.1818181818181818</v>
      </c>
      <c r="K48" s="7">
        <v>0.52777777777777779</v>
      </c>
      <c r="L48" s="7">
        <v>0.44444444444444442</v>
      </c>
      <c r="M48" s="7">
        <v>0.5</v>
      </c>
      <c r="N48" s="7">
        <v>0.2</v>
      </c>
      <c r="O48" s="7">
        <v>0.54285714285714282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Q65"/>
  <sheetViews>
    <sheetView tabSelected="1" zoomScale="69" workbookViewId="0">
      <selection activeCell="D9" sqref="D9"/>
    </sheetView>
  </sheetViews>
  <sheetFormatPr baseColWidth="10" defaultColWidth="9.140625" defaultRowHeight="15" x14ac:dyDescent="0.25"/>
  <cols>
    <col min="1" max="1" width="76.85546875" bestFit="1" customWidth="1"/>
    <col min="3" max="4" width="10.7109375" customWidth="1"/>
    <col min="6" max="7" width="10.7109375" customWidth="1"/>
    <col min="9" max="10" width="10.7109375" customWidth="1"/>
    <col min="12" max="13" width="10.7109375" customWidth="1"/>
    <col min="15" max="16" width="10.7109375" customWidth="1"/>
    <col min="18" max="19" width="10.7109375" customWidth="1"/>
    <col min="21" max="22" width="10.7109375" customWidth="1"/>
    <col min="24" max="25" width="10.7109375" customWidth="1"/>
    <col min="27" max="28" width="10.7109375" customWidth="1"/>
    <col min="30" max="31" width="10.7109375" customWidth="1"/>
    <col min="33" max="34" width="10.7109375" customWidth="1"/>
    <col min="36" max="37" width="10.7109375" customWidth="1"/>
    <col min="39" max="40" width="10.7109375" customWidth="1"/>
    <col min="42" max="43" width="10.7109375" customWidth="1"/>
  </cols>
  <sheetData>
    <row r="1" spans="1:43" x14ac:dyDescent="0.25">
      <c r="A1" s="12" t="s">
        <v>0</v>
      </c>
      <c r="B1" s="1" t="s">
        <v>1</v>
      </c>
      <c r="C1" s="1"/>
      <c r="D1" s="1"/>
      <c r="E1" s="1" t="s">
        <v>2</v>
      </c>
      <c r="F1" s="1"/>
      <c r="G1" s="1"/>
      <c r="H1" s="1" t="s">
        <v>3</v>
      </c>
      <c r="I1" s="1"/>
      <c r="J1" s="1"/>
      <c r="K1" s="1" t="s">
        <v>4</v>
      </c>
      <c r="L1" s="1"/>
      <c r="M1" s="1"/>
      <c r="N1" s="1" t="s">
        <v>5</v>
      </c>
      <c r="O1" s="1"/>
      <c r="P1" s="1"/>
      <c r="Q1" s="1" t="s">
        <v>6</v>
      </c>
      <c r="R1" s="1"/>
      <c r="S1" s="1"/>
      <c r="T1" s="1" t="s">
        <v>7</v>
      </c>
      <c r="U1" s="1"/>
      <c r="V1" s="1"/>
      <c r="W1" s="1" t="s">
        <v>8</v>
      </c>
      <c r="X1" s="1"/>
      <c r="Y1" s="1"/>
      <c r="Z1" s="1" t="s">
        <v>9</v>
      </c>
      <c r="AA1" s="1"/>
      <c r="AB1" s="1"/>
      <c r="AC1" s="1" t="s">
        <v>10</v>
      </c>
      <c r="AD1" s="1"/>
      <c r="AE1" s="1"/>
      <c r="AF1" s="1" t="s">
        <v>11</v>
      </c>
      <c r="AG1" s="1"/>
      <c r="AH1" s="1"/>
      <c r="AI1" s="1" t="s">
        <v>12</v>
      </c>
      <c r="AJ1" s="1"/>
      <c r="AK1" s="1"/>
      <c r="AL1" s="1" t="s">
        <v>13</v>
      </c>
      <c r="AM1" s="1"/>
      <c r="AN1" s="1"/>
      <c r="AO1" s="1" t="s">
        <v>14</v>
      </c>
      <c r="AP1" s="1"/>
      <c r="AQ1" s="1"/>
    </row>
    <row r="2" spans="1:43" x14ac:dyDescent="0.25">
      <c r="A2" s="2" t="s">
        <v>15</v>
      </c>
      <c r="B2" s="4" t="s">
        <v>28</v>
      </c>
      <c r="C2" s="4"/>
      <c r="D2" s="4"/>
      <c r="E2" s="4" t="s">
        <v>28</v>
      </c>
      <c r="F2" s="4"/>
      <c r="G2" s="4"/>
      <c r="H2" s="4" t="s">
        <v>28</v>
      </c>
      <c r="I2" s="4"/>
      <c r="J2" s="4"/>
      <c r="K2" s="4" t="s">
        <v>28</v>
      </c>
      <c r="L2" s="4"/>
      <c r="M2" s="4"/>
      <c r="N2" s="4" t="s">
        <v>28</v>
      </c>
      <c r="O2" s="4"/>
      <c r="P2" s="4"/>
      <c r="Q2" s="4" t="s">
        <v>28</v>
      </c>
      <c r="R2" s="4"/>
      <c r="S2" s="4"/>
      <c r="T2" s="4" t="s">
        <v>28</v>
      </c>
      <c r="U2" s="4"/>
      <c r="V2" s="4"/>
      <c r="W2" s="4" t="s">
        <v>28</v>
      </c>
      <c r="X2" s="4"/>
      <c r="Y2" s="4"/>
      <c r="Z2" s="4" t="s">
        <v>28</v>
      </c>
      <c r="AA2" s="4"/>
      <c r="AB2" s="4"/>
      <c r="AC2" s="4" t="s">
        <v>28</v>
      </c>
      <c r="AD2" s="4"/>
      <c r="AE2" s="4"/>
      <c r="AF2" s="4" t="s">
        <v>28</v>
      </c>
      <c r="AG2" s="4"/>
      <c r="AH2" s="4"/>
      <c r="AI2" s="4" t="s">
        <v>28</v>
      </c>
      <c r="AJ2" s="4"/>
      <c r="AK2" s="4"/>
      <c r="AL2" s="4" t="s">
        <v>28</v>
      </c>
      <c r="AM2" s="4"/>
      <c r="AN2" s="4"/>
      <c r="AO2" s="4" t="s">
        <v>28</v>
      </c>
      <c r="AP2" s="4"/>
      <c r="AQ2" s="4"/>
    </row>
    <row r="3" spans="1:43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x14ac:dyDescent="0.25">
      <c r="A4" t="s">
        <v>17</v>
      </c>
      <c r="B4" s="8" t="s">
        <v>18</v>
      </c>
      <c r="C4" s="8"/>
      <c r="D4" s="8"/>
      <c r="E4" s="8" t="s">
        <v>18</v>
      </c>
      <c r="F4" s="8"/>
      <c r="G4" s="8"/>
      <c r="H4" s="8" t="s">
        <v>18</v>
      </c>
      <c r="I4" s="8"/>
      <c r="J4" s="8"/>
      <c r="K4" s="8" t="s">
        <v>18</v>
      </c>
      <c r="L4" s="8"/>
      <c r="M4" s="8"/>
      <c r="N4" s="8" t="s">
        <v>18</v>
      </c>
      <c r="O4" s="8"/>
      <c r="P4" s="8"/>
      <c r="Q4" s="8" t="s">
        <v>18</v>
      </c>
      <c r="R4" s="8"/>
      <c r="S4" s="8"/>
      <c r="T4" s="8" t="s">
        <v>18</v>
      </c>
      <c r="U4" s="8"/>
      <c r="V4" s="8"/>
      <c r="W4" s="8" t="s">
        <v>18</v>
      </c>
      <c r="X4" s="8"/>
      <c r="Y4" s="8"/>
      <c r="Z4" s="8" t="s">
        <v>18</v>
      </c>
      <c r="AA4" s="8"/>
      <c r="AB4" s="8"/>
      <c r="AC4" s="8" t="s">
        <v>18</v>
      </c>
      <c r="AD4" s="8"/>
      <c r="AE4" s="8"/>
      <c r="AF4" s="8" t="s">
        <v>18</v>
      </c>
      <c r="AG4" s="8"/>
      <c r="AH4" s="8"/>
      <c r="AI4" s="8" t="s">
        <v>18</v>
      </c>
      <c r="AJ4" s="8"/>
      <c r="AK4" s="8"/>
      <c r="AL4" s="8" t="s">
        <v>18</v>
      </c>
      <c r="AM4" s="8"/>
      <c r="AN4" s="8"/>
      <c r="AO4" s="8" t="s">
        <v>18</v>
      </c>
      <c r="AP4" s="8"/>
      <c r="AQ4" s="8"/>
    </row>
    <row r="5" spans="1:43" x14ac:dyDescent="0.25">
      <c r="A5" t="s">
        <v>19</v>
      </c>
      <c r="B5" s="6">
        <v>0.93100000000000005</v>
      </c>
      <c r="C5" s="6"/>
      <c r="D5" s="6"/>
      <c r="E5" s="6">
        <v>0.95299999999999996</v>
      </c>
      <c r="F5" s="6"/>
      <c r="G5" s="6"/>
      <c r="H5" s="6">
        <v>0.90300000000000002</v>
      </c>
      <c r="I5" s="6"/>
      <c r="J5" s="6"/>
      <c r="K5" s="6">
        <v>0.93500000000000005</v>
      </c>
      <c r="L5" s="6"/>
      <c r="M5" s="6"/>
      <c r="N5" s="6">
        <v>0.90200000000000002</v>
      </c>
      <c r="O5" s="6"/>
      <c r="P5" s="6"/>
      <c r="Q5" s="6">
        <v>0.93400000000000005</v>
      </c>
      <c r="R5" s="6"/>
      <c r="S5" s="6"/>
      <c r="T5" s="6">
        <v>0.54600000000000004</v>
      </c>
      <c r="U5" s="6"/>
      <c r="V5" s="6"/>
      <c r="W5" s="6">
        <v>0.67500000000000004</v>
      </c>
      <c r="X5" s="6"/>
      <c r="Y5" s="6"/>
      <c r="Z5" s="6">
        <v>0.53200000000000003</v>
      </c>
      <c r="AA5" s="6"/>
      <c r="AB5" s="6"/>
      <c r="AC5" s="6">
        <v>0.64300000000000002</v>
      </c>
      <c r="AD5" s="6"/>
      <c r="AE5" s="6"/>
      <c r="AF5" s="6">
        <v>0.92700000000000005</v>
      </c>
      <c r="AG5" s="6"/>
      <c r="AH5" s="6"/>
      <c r="AI5" s="6">
        <v>0.95</v>
      </c>
      <c r="AJ5" s="6"/>
      <c r="AK5" s="6"/>
      <c r="AL5" s="6">
        <v>0.9</v>
      </c>
      <c r="AM5" s="6"/>
      <c r="AN5" s="6"/>
      <c r="AO5" s="6">
        <v>0.93400000000000005</v>
      </c>
      <c r="AP5" s="6"/>
      <c r="AQ5" s="6"/>
    </row>
    <row r="6" spans="1:43" x14ac:dyDescent="0.25">
      <c r="A6" s="3" t="s">
        <v>20</v>
      </c>
      <c r="B6" s="7">
        <v>0.92800000000000005</v>
      </c>
      <c r="C6" s="7"/>
      <c r="D6" s="7"/>
      <c r="E6" s="7">
        <v>0.94799999999999995</v>
      </c>
      <c r="F6" s="7"/>
      <c r="G6" s="7"/>
      <c r="H6" s="7">
        <v>0.90200000000000002</v>
      </c>
      <c r="I6" s="7"/>
      <c r="J6" s="7"/>
      <c r="K6" s="7">
        <v>0.93</v>
      </c>
      <c r="L6" s="7"/>
      <c r="M6" s="7"/>
      <c r="N6" s="7">
        <v>0.9</v>
      </c>
      <c r="O6" s="7"/>
      <c r="P6" s="7"/>
      <c r="Q6" s="7">
        <v>0.92900000000000005</v>
      </c>
      <c r="R6" s="7"/>
      <c r="S6" s="7"/>
      <c r="T6" s="7">
        <v>0.53500000000000003</v>
      </c>
      <c r="U6" s="7"/>
      <c r="V6" s="7"/>
      <c r="W6" s="7">
        <v>0.64600000000000002</v>
      </c>
      <c r="X6" s="7"/>
      <c r="Y6" s="7"/>
      <c r="Z6" s="7">
        <v>0.52</v>
      </c>
      <c r="AA6" s="7"/>
      <c r="AB6" s="7"/>
      <c r="AC6" s="7">
        <v>0.61199999999999999</v>
      </c>
      <c r="AD6" s="7"/>
      <c r="AE6" s="7"/>
      <c r="AF6" s="7">
        <v>0.92500000000000004</v>
      </c>
      <c r="AG6" s="7"/>
      <c r="AH6" s="7"/>
      <c r="AI6" s="7">
        <v>0.94599999999999995</v>
      </c>
      <c r="AJ6" s="7"/>
      <c r="AK6" s="7"/>
      <c r="AL6" s="7">
        <v>0.89800000000000002</v>
      </c>
      <c r="AM6" s="7"/>
      <c r="AN6" s="7"/>
      <c r="AO6" s="7">
        <v>0.92800000000000005</v>
      </c>
      <c r="AP6" s="7"/>
      <c r="AQ6" s="7"/>
    </row>
    <row r="7" spans="1:43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x14ac:dyDescent="0.25">
      <c r="A8" s="13" t="s">
        <v>31</v>
      </c>
      <c r="B8" s="9">
        <v>-0.36799999999999999</v>
      </c>
      <c r="C8" s="9" t="str">
        <f>+IF($A8&lt;&gt;"",IF(B10&lt;0.01,"***",IF(B10&lt;0.05,"**",IF(B10&lt;0.1,"*",""))),"")</f>
        <v>**</v>
      </c>
      <c r="D8" s="9" t="s">
        <v>232</v>
      </c>
      <c r="E8" s="9">
        <v>-0.45050000000000001</v>
      </c>
      <c r="F8" s="9" t="str">
        <f>+IF($A8&lt;&gt;"",IF(E10&lt;0.01,"***",IF(E10&lt;0.05,"**",IF(E10&lt;0.1,"*",""))),"")</f>
        <v>***</v>
      </c>
      <c r="G8" s="9" t="str">
        <f>+CONCATENATE(ROUND(E8,3), " ",F8)</f>
        <v>-0,451 ***</v>
      </c>
      <c r="H8" s="9">
        <v>-0.65620000000000001</v>
      </c>
      <c r="I8" s="9" t="str">
        <f>+IF($A8&lt;&gt;"",IF(H10&lt;0.01,"***",IF(H10&lt;0.05,"**",IF(H10&lt;0.1,"*",""))),"")</f>
        <v>***</v>
      </c>
      <c r="J8" s="9" t="str">
        <f>+CONCATENATE(ROUND(H8,3), " ",I8)</f>
        <v>-0,656 ***</v>
      </c>
      <c r="K8" s="9">
        <v>-0.57589999999999997</v>
      </c>
      <c r="L8" s="9" t="str">
        <f>+IF($A8&lt;&gt;"",IF(K10&lt;0.01,"***",IF(K10&lt;0.05,"**",IF(K10&lt;0.1,"*",""))),"")</f>
        <v>***</v>
      </c>
      <c r="M8" s="9" t="str">
        <f>+CONCATENATE(ROUND(K8,3), " ",L8)</f>
        <v>-0,576 ***</v>
      </c>
      <c r="N8" s="9">
        <v>0.11310000000000001</v>
      </c>
      <c r="O8" s="9" t="str">
        <f>+IF($A8&lt;&gt;"",IF(N10&lt;0.01,"***",IF(N10&lt;0.05,"**",IF(N10&lt;0.1,"*",""))),"")</f>
        <v>*</v>
      </c>
      <c r="P8" s="9" t="str">
        <f>+CONCATENATE(ROUND(N8,3), " ",O8)</f>
        <v>0,113 *</v>
      </c>
      <c r="Q8" s="9">
        <v>7.9799999999999996E-2</v>
      </c>
      <c r="R8" s="9" t="str">
        <f>+IF($A8&lt;&gt;"",IF(Q10&lt;0.01,"***",IF(Q10&lt;0.05,"**",IF(Q10&lt;0.1,"*",""))),"")</f>
        <v/>
      </c>
      <c r="S8" s="9" t="str">
        <f>+CONCATENATE(ROUND(Q8,3), " ",R8)</f>
        <v xml:space="preserve">0,08 </v>
      </c>
      <c r="T8" s="9">
        <v>0.1386</v>
      </c>
      <c r="U8" s="9" t="str">
        <f>+IF($A8&lt;&gt;"",IF(T10&lt;0.01,"***",IF(T10&lt;0.05,"**",IF(T10&lt;0.1,"*",""))),"")</f>
        <v/>
      </c>
      <c r="V8" s="9" t="str">
        <f>+CONCATENATE(ROUND(T8,3), " ",U8)</f>
        <v xml:space="preserve">0,139 </v>
      </c>
      <c r="W8" s="9">
        <v>-7.7999999999999996E-3</v>
      </c>
      <c r="X8" s="9" t="str">
        <f>+IF($A8&lt;&gt;"",IF(W10&lt;0.01,"***",IF(W10&lt;0.05,"**",IF(W10&lt;0.1,"*",""))),"")</f>
        <v/>
      </c>
      <c r="Y8" s="9" t="str">
        <f>+CONCATENATE(ROUND(W8,3), " ",X8)</f>
        <v xml:space="preserve">-0,008 </v>
      </c>
      <c r="Z8" s="9">
        <v>-2.3809999999999998</v>
      </c>
      <c r="AA8" s="9" t="str">
        <f>+IF($A8&lt;&gt;"",IF(Z10&lt;0.01,"***",IF(Z10&lt;0.05,"**",IF(Z10&lt;0.1,"*",""))),"")</f>
        <v>***</v>
      </c>
      <c r="AB8" s="9" t="str">
        <f>+CONCATENATE(ROUND(Z8,3), " ",AA8)</f>
        <v>-2,381 ***</v>
      </c>
      <c r="AC8" s="9">
        <v>-1.3037000000000001</v>
      </c>
      <c r="AD8" s="9" t="str">
        <f>+IF($A8&lt;&gt;"",IF(AC10&lt;0.01,"***",IF(AC10&lt;0.05,"**",IF(AC10&lt;0.1,"*",""))),"")</f>
        <v>***</v>
      </c>
      <c r="AE8" s="9" t="str">
        <f>+CONCATENATE(ROUND(AC8,3), " ",AD8)</f>
        <v>-1,304 ***</v>
      </c>
      <c r="AF8" s="9">
        <v>-0.43120000000000003</v>
      </c>
      <c r="AG8" s="9" t="str">
        <f>+IF($A8&lt;&gt;"",IF(AF10&lt;0.01,"***",IF(AF10&lt;0.05,"**",IF(AF10&lt;0.1,"*",""))),"")</f>
        <v>***</v>
      </c>
      <c r="AH8" s="9" t="str">
        <f>+CONCATENATE(ROUND(AF8,3), " ",AG8)</f>
        <v>-0,431 ***</v>
      </c>
      <c r="AI8" s="9">
        <v>-0.53490000000000004</v>
      </c>
      <c r="AJ8" s="9" t="str">
        <f>+IF($A8&lt;&gt;"",IF(AI10&lt;0.01,"***",IF(AI10&lt;0.05,"**",IF(AI10&lt;0.1,"*",""))),"")</f>
        <v>***</v>
      </c>
      <c r="AK8" s="9" t="str">
        <f>+CONCATENATE(ROUND(AI8,3), " ",AJ8)</f>
        <v>-0,535 ***</v>
      </c>
      <c r="AL8" s="9">
        <v>6.9800000000000001E-2</v>
      </c>
      <c r="AM8" s="9" t="str">
        <f>+IF($A8&lt;&gt;"",IF(AL10&lt;0.01,"***",IF(AL10&lt;0.05,"**",IF(AL10&lt;0.1,"*",""))),"")</f>
        <v/>
      </c>
      <c r="AN8" s="9" t="str">
        <f>+CONCATENATE(ROUND(AL8,3), " ",AM8)</f>
        <v xml:space="preserve">0,07 </v>
      </c>
      <c r="AO8" s="9">
        <v>5.5800000000000002E-2</v>
      </c>
      <c r="AP8" s="9" t="str">
        <f>+IF($A8&lt;&gt;"",IF(AO10&lt;0.01,"***",IF(AO10&lt;0.05,"**",IF(AO10&lt;0.1,"*",""))),"")</f>
        <v/>
      </c>
      <c r="AQ8" s="9" t="str">
        <f>+CONCATENATE(ROUND(AO8,3), " ",AP8)</f>
        <v xml:space="preserve">0,056 </v>
      </c>
    </row>
    <row r="9" spans="1:43" x14ac:dyDescent="0.25">
      <c r="A9" s="14"/>
      <c r="B9" s="9">
        <v>0.16200000000000001</v>
      </c>
      <c r="C9" s="9" t="str">
        <f t="shared" ref="C9:R58" si="0">+IF($A9&lt;&gt;"",IF(B11&lt;0.01,"***",IF(B11&lt;0.05,"**",IF(B11&lt;0.1,"*",""))),"")</f>
        <v/>
      </c>
      <c r="D9" s="9" t="s">
        <v>233</v>
      </c>
      <c r="E9" s="9">
        <v>0.14599999999999999</v>
      </c>
      <c r="F9" s="9" t="str">
        <f t="shared" si="0"/>
        <v/>
      </c>
      <c r="G9" s="9" t="str">
        <f>+CONCATENATE("(",ROUND(E9,3),")")</f>
        <v>(0,146)</v>
      </c>
      <c r="H9" s="9">
        <v>0.185</v>
      </c>
      <c r="I9" s="9" t="str">
        <f t="shared" si="0"/>
        <v/>
      </c>
      <c r="J9" s="9" t="str">
        <f>+CONCATENATE("(",ROUND(H9,3),")")</f>
        <v>(0,185)</v>
      </c>
      <c r="K9" s="9">
        <v>0.16500000000000001</v>
      </c>
      <c r="L9" s="9" t="str">
        <f t="shared" si="0"/>
        <v/>
      </c>
      <c r="M9" s="9" t="str">
        <f>+CONCATENATE("(",ROUND(K9,3),")")</f>
        <v>(0,165)</v>
      </c>
      <c r="N9" s="9">
        <v>6.8000000000000005E-2</v>
      </c>
      <c r="O9" s="9" t="str">
        <f t="shared" si="0"/>
        <v/>
      </c>
      <c r="P9" s="9" t="str">
        <f>+CONCATENATE("(",ROUND(N9,3),")")</f>
        <v>(0,068)</v>
      </c>
      <c r="Q9" s="9">
        <v>5.7000000000000002E-2</v>
      </c>
      <c r="R9" s="9" t="str">
        <f t="shared" si="0"/>
        <v/>
      </c>
      <c r="S9" s="9" t="str">
        <f>+CONCATENATE("(",ROUND(Q9,3),")")</f>
        <v>(0,057)</v>
      </c>
      <c r="T9" s="9">
        <v>0.153</v>
      </c>
      <c r="U9" s="9" t="str">
        <f t="shared" ref="U9:AP43" si="1">+IF($A9&lt;&gt;"",IF(T11&lt;0.01,"***",IF(T11&lt;0.05,"**",IF(T11&lt;0.1,"*",""))),"")</f>
        <v/>
      </c>
      <c r="V9" s="9" t="str">
        <f>+CONCATENATE("(",ROUND(T9,3),")")</f>
        <v>(0,153)</v>
      </c>
      <c r="W9" s="9">
        <v>0.14199999999999999</v>
      </c>
      <c r="X9" s="9" t="str">
        <f t="shared" si="1"/>
        <v/>
      </c>
      <c r="Y9" s="9" t="str">
        <f>+CONCATENATE("(",ROUND(W9,3),")")</f>
        <v>(0,142)</v>
      </c>
      <c r="Z9" s="9">
        <v>0.40200000000000002</v>
      </c>
      <c r="AA9" s="9" t="str">
        <f t="shared" si="1"/>
        <v/>
      </c>
      <c r="AB9" s="9" t="str">
        <f>+CONCATENATE("(",ROUND(Z9,3),")")</f>
        <v>(0,402)</v>
      </c>
      <c r="AC9" s="9">
        <v>0.39</v>
      </c>
      <c r="AD9" s="9" t="str">
        <f t="shared" si="1"/>
        <v/>
      </c>
      <c r="AE9" s="9" t="str">
        <f>+CONCATENATE("(",ROUND(AC9,3),")")</f>
        <v>(0,39)</v>
      </c>
      <c r="AF9" s="9">
        <v>0.14499999999999999</v>
      </c>
      <c r="AG9" s="9" t="str">
        <f t="shared" si="1"/>
        <v/>
      </c>
      <c r="AH9" s="9" t="str">
        <f>+CONCATENATE("(",ROUND(AF9,3),")")</f>
        <v>(0,145)</v>
      </c>
      <c r="AI9" s="9">
        <v>0.13300000000000001</v>
      </c>
      <c r="AJ9" s="9" t="str">
        <f t="shared" si="1"/>
        <v/>
      </c>
      <c r="AK9" s="9" t="str">
        <f>+CONCATENATE("(",ROUND(AI9,3),")")</f>
        <v>(0,133)</v>
      </c>
      <c r="AL9" s="9">
        <v>6.8000000000000005E-2</v>
      </c>
      <c r="AM9" s="9" t="str">
        <f t="shared" si="1"/>
        <v/>
      </c>
      <c r="AN9" s="9" t="str">
        <f>+CONCATENATE("(",ROUND(AL9,3),")")</f>
        <v>(0,068)</v>
      </c>
      <c r="AO9" s="9">
        <v>5.8999999999999997E-2</v>
      </c>
      <c r="AP9" s="9" t="str">
        <f t="shared" si="1"/>
        <v/>
      </c>
      <c r="AQ9" s="9" t="str">
        <f>+CONCATENATE("(",ROUND(AO9,3),")")</f>
        <v>(0,059)</v>
      </c>
    </row>
    <row r="10" spans="1:43" x14ac:dyDescent="0.25">
      <c r="A10" s="14"/>
      <c r="B10" s="9">
        <v>2.4E-2</v>
      </c>
      <c r="C10" s="9" t="str">
        <f t="shared" si="0"/>
        <v/>
      </c>
      <c r="D10" s="9"/>
      <c r="E10" s="9">
        <v>2E-3</v>
      </c>
      <c r="F10" s="9" t="str">
        <f t="shared" si="0"/>
        <v/>
      </c>
      <c r="G10" s="9"/>
      <c r="H10" s="9">
        <v>0</v>
      </c>
      <c r="I10" s="9" t="str">
        <f t="shared" si="0"/>
        <v/>
      </c>
      <c r="J10" s="9"/>
      <c r="K10" s="9">
        <v>1E-3</v>
      </c>
      <c r="L10" s="9" t="str">
        <f t="shared" si="0"/>
        <v/>
      </c>
      <c r="M10" s="9"/>
      <c r="N10" s="9">
        <v>9.7000000000000003E-2</v>
      </c>
      <c r="O10" s="9" t="str">
        <f t="shared" si="0"/>
        <v/>
      </c>
      <c r="P10" s="9"/>
      <c r="Q10" s="9">
        <v>0.16500000000000001</v>
      </c>
      <c r="R10" s="9" t="str">
        <f t="shared" si="0"/>
        <v/>
      </c>
      <c r="S10" s="9"/>
      <c r="T10" s="9">
        <v>0.36499999999999999</v>
      </c>
      <c r="U10" s="9" t="str">
        <f t="shared" si="1"/>
        <v/>
      </c>
      <c r="V10" s="9"/>
      <c r="W10" s="9">
        <v>0.95599999999999996</v>
      </c>
      <c r="X10" s="9" t="str">
        <f t="shared" si="1"/>
        <v/>
      </c>
      <c r="Y10" s="9"/>
      <c r="Z10" s="9">
        <v>0</v>
      </c>
      <c r="AA10" s="9" t="str">
        <f t="shared" si="1"/>
        <v/>
      </c>
      <c r="AB10" s="9"/>
      <c r="AC10" s="9">
        <v>1E-3</v>
      </c>
      <c r="AD10" s="9" t="str">
        <f t="shared" si="1"/>
        <v/>
      </c>
      <c r="AE10" s="9"/>
      <c r="AF10" s="9">
        <v>3.0000000000000001E-3</v>
      </c>
      <c r="AG10" s="9" t="str">
        <f t="shared" si="1"/>
        <v/>
      </c>
      <c r="AH10" s="9"/>
      <c r="AI10" s="9">
        <v>0</v>
      </c>
      <c r="AJ10" s="9" t="str">
        <f t="shared" si="1"/>
        <v/>
      </c>
      <c r="AK10" s="9"/>
      <c r="AL10" s="9">
        <v>0.308</v>
      </c>
      <c r="AM10" s="9" t="str">
        <f t="shared" si="1"/>
        <v/>
      </c>
      <c r="AN10" s="9"/>
      <c r="AO10" s="9">
        <v>0.34100000000000003</v>
      </c>
      <c r="AP10" s="9" t="str">
        <f t="shared" si="1"/>
        <v/>
      </c>
      <c r="AQ10" s="9"/>
    </row>
    <row r="11" spans="1:43" x14ac:dyDescent="0.25">
      <c r="A11" t="s">
        <v>32</v>
      </c>
      <c r="B11" s="9">
        <v>1E-4</v>
      </c>
      <c r="C11" s="9" t="str">
        <f t="shared" si="0"/>
        <v>**</v>
      </c>
      <c r="D11" s="9" t="s">
        <v>234</v>
      </c>
      <c r="E11" s="9">
        <v>8.1570000000000007E-5</v>
      </c>
      <c r="F11" s="9" t="str">
        <f t="shared" si="0"/>
        <v>*</v>
      </c>
      <c r="G11" s="9" t="str">
        <f>+CONCATENATE(ROUND(E11,3), " ",F11)</f>
        <v>0 *</v>
      </c>
      <c r="H11" s="9">
        <v>9.9560000000000002E-5</v>
      </c>
      <c r="I11" s="9" t="str">
        <f t="shared" si="0"/>
        <v>**</v>
      </c>
      <c r="J11" s="9" t="str">
        <f>+CONCATENATE(ROUND(H11,3), " ",I11)</f>
        <v>0 **</v>
      </c>
      <c r="K11" s="9">
        <v>6.8549999999999999E-5</v>
      </c>
      <c r="L11" s="9" t="str">
        <f t="shared" si="0"/>
        <v/>
      </c>
      <c r="M11" s="9" t="str">
        <f>+CONCATENATE(ROUND(K11,3), " ",L11)</f>
        <v xml:space="preserve">0 </v>
      </c>
      <c r="N11" s="9">
        <v>1E-4</v>
      </c>
      <c r="O11" s="9" t="str">
        <f t="shared" si="0"/>
        <v>***</v>
      </c>
      <c r="P11" s="9" t="str">
        <f>+CONCATENATE(ROUND(N11,3), " ",O11)</f>
        <v>0 ***</v>
      </c>
      <c r="Q11" s="9">
        <v>8.8869999999999994E-5</v>
      </c>
      <c r="R11" s="9" t="str">
        <f t="shared" si="0"/>
        <v>*</v>
      </c>
      <c r="S11" s="9" t="str">
        <f>+CONCATENATE(ROUND(Q11,3), " ",R11)</f>
        <v>0 *</v>
      </c>
      <c r="T11" s="9">
        <v>8.0000000000000004E-4</v>
      </c>
      <c r="U11" s="9" t="str">
        <f t="shared" si="1"/>
        <v>***</v>
      </c>
      <c r="V11" s="9" t="str">
        <f>+CONCATENATE(ROUND(T11,3), " ",U11)</f>
        <v>0,001 ***</v>
      </c>
      <c r="W11" s="9">
        <v>6.9999999999999999E-4</v>
      </c>
      <c r="X11" s="9" t="str">
        <f t="shared" si="1"/>
        <v>***</v>
      </c>
      <c r="Y11" s="9" t="str">
        <f>+CONCATENATE(ROUND(W11,3), " ",X11)</f>
        <v>0,001 ***</v>
      </c>
      <c r="Z11" s="9"/>
      <c r="AA11" s="9" t="str">
        <f t="shared" si="1"/>
        <v>***</v>
      </c>
      <c r="AB11" s="9" t="str">
        <f>+CONCATENATE(ROUND(Z11,3), " ",AA11)</f>
        <v>0 ***</v>
      </c>
      <c r="AC11" s="9"/>
      <c r="AD11" s="9" t="str">
        <f t="shared" si="1"/>
        <v>***</v>
      </c>
      <c r="AE11" s="9" t="str">
        <f>+CONCATENATE(ROUND(AC11,3), " ",AD11)</f>
        <v>0 ***</v>
      </c>
      <c r="AF11" s="9">
        <v>1E-4</v>
      </c>
      <c r="AG11" s="9" t="str">
        <f t="shared" si="1"/>
        <v>**</v>
      </c>
      <c r="AH11" s="9" t="str">
        <f>+CONCATENATE(ROUND(AF11,3), " ",AG11)</f>
        <v>0 **</v>
      </c>
      <c r="AI11" s="9">
        <v>8.899E-5</v>
      </c>
      <c r="AJ11" s="9" t="str">
        <f t="shared" si="1"/>
        <v>**</v>
      </c>
      <c r="AK11" s="9" t="str">
        <f>+CONCATENATE(ROUND(AI11,3), " ",AJ11)</f>
        <v>0 **</v>
      </c>
      <c r="AL11" s="9"/>
      <c r="AM11" s="9" t="str">
        <f t="shared" si="1"/>
        <v>***</v>
      </c>
      <c r="AN11" s="9" t="str">
        <f>+CONCATENATE(ROUND(AL11,3), " ",AM11)</f>
        <v>0 ***</v>
      </c>
      <c r="AO11" s="9"/>
      <c r="AP11" s="9" t="str">
        <f t="shared" si="1"/>
        <v>***</v>
      </c>
      <c r="AQ11" s="9" t="str">
        <f>+CONCATENATE(ROUND(AO11,3), " ",AP11)</f>
        <v>0 ***</v>
      </c>
    </row>
    <row r="12" spans="1:43" x14ac:dyDescent="0.25">
      <c r="B12" s="9">
        <v>4.6100000000000002E-5</v>
      </c>
      <c r="C12" s="9" t="str">
        <f t="shared" si="0"/>
        <v/>
      </c>
      <c r="D12" s="9" t="s">
        <v>59</v>
      </c>
      <c r="E12" s="9">
        <v>4.3800000000000001E-5</v>
      </c>
      <c r="F12" s="9" t="str">
        <f t="shared" si="0"/>
        <v/>
      </c>
      <c r="G12" s="9" t="str">
        <f>+CONCATENATE("(",ROUND(E12,3),")")</f>
        <v>(0)</v>
      </c>
      <c r="H12" s="9">
        <v>4.8999999999999998E-5</v>
      </c>
      <c r="I12" s="9" t="str">
        <f t="shared" si="0"/>
        <v/>
      </c>
      <c r="J12" s="9" t="str">
        <f>+CONCATENATE("(",ROUND(H12,3),")")</f>
        <v>(0)</v>
      </c>
      <c r="K12" s="9">
        <v>4.6900000000000002E-5</v>
      </c>
      <c r="L12" s="9" t="str">
        <f t="shared" si="0"/>
        <v/>
      </c>
      <c r="M12" s="9" t="str">
        <f>+CONCATENATE("(",ROUND(K12,3),")")</f>
        <v>(0)</v>
      </c>
      <c r="N12" s="9">
        <v>5.0000000000000002E-5</v>
      </c>
      <c r="O12" s="9" t="str">
        <f t="shared" si="0"/>
        <v/>
      </c>
      <c r="P12" s="9" t="str">
        <f>+CONCATENATE("(",ROUND(N12,3),")")</f>
        <v>(0)</v>
      </c>
      <c r="Q12" s="9">
        <v>4.7800000000000003E-5</v>
      </c>
      <c r="R12" s="9" t="str">
        <f t="shared" si="0"/>
        <v/>
      </c>
      <c r="S12" s="9" t="str">
        <f>+CONCATENATE("(",ROUND(Q12,3),")")</f>
        <v>(0)</v>
      </c>
      <c r="T12" s="9">
        <v>0</v>
      </c>
      <c r="U12" s="9" t="str">
        <f t="shared" si="1"/>
        <v/>
      </c>
      <c r="V12" s="9" t="str">
        <f>+CONCATENATE("(",ROUND(T12,3),")")</f>
        <v>(0)</v>
      </c>
      <c r="W12" s="9">
        <v>0</v>
      </c>
      <c r="X12" s="9" t="str">
        <f t="shared" si="1"/>
        <v/>
      </c>
      <c r="Y12" s="9" t="str">
        <f>+CONCATENATE("(",ROUND(W12,3),")")</f>
        <v>(0)</v>
      </c>
      <c r="Z12" s="9"/>
      <c r="AA12" s="9" t="str">
        <f t="shared" si="1"/>
        <v/>
      </c>
      <c r="AB12" s="9" t="str">
        <f>+CONCATENATE("(",ROUND(Z12,3),")")</f>
        <v>(0)</v>
      </c>
      <c r="AC12" s="9"/>
      <c r="AD12" s="9" t="str">
        <f t="shared" si="1"/>
        <v/>
      </c>
      <c r="AE12" s="9" t="str">
        <f>+CONCATENATE("(",ROUND(AC12,3),")")</f>
        <v>(0)</v>
      </c>
      <c r="AF12" s="9">
        <v>4.5899999999999998E-5</v>
      </c>
      <c r="AG12" s="9" t="str">
        <f t="shared" si="1"/>
        <v/>
      </c>
      <c r="AH12" s="9" t="str">
        <f>+CONCATENATE("(",ROUND(AF12,3),")")</f>
        <v>(0)</v>
      </c>
      <c r="AI12" s="9">
        <v>4.3399999999999998E-5</v>
      </c>
      <c r="AJ12" s="9" t="str">
        <f t="shared" si="1"/>
        <v/>
      </c>
      <c r="AK12" s="9" t="str">
        <f>+CONCATENATE("(",ROUND(AI12,3),")")</f>
        <v>(0)</v>
      </c>
      <c r="AL12" s="9"/>
      <c r="AM12" s="9" t="str">
        <f t="shared" si="1"/>
        <v/>
      </c>
      <c r="AN12" s="9" t="str">
        <f>+CONCATENATE("(",ROUND(AL12,3),")")</f>
        <v>(0)</v>
      </c>
      <c r="AO12" s="9"/>
      <c r="AP12" s="9" t="str">
        <f t="shared" si="1"/>
        <v/>
      </c>
      <c r="AQ12" s="9" t="str">
        <f>+CONCATENATE("(",ROUND(AO12,3),")")</f>
        <v>(0)</v>
      </c>
    </row>
    <row r="13" spans="1:43" x14ac:dyDescent="0.25">
      <c r="B13" s="9">
        <v>1.9E-2</v>
      </c>
      <c r="C13" s="9" t="str">
        <f t="shared" si="0"/>
        <v/>
      </c>
      <c r="D13" s="9"/>
      <c r="E13" s="9">
        <v>6.3E-2</v>
      </c>
      <c r="F13" s="9" t="str">
        <f t="shared" si="0"/>
        <v/>
      </c>
      <c r="G13" s="9"/>
      <c r="H13" s="9">
        <v>4.2999999999999997E-2</v>
      </c>
      <c r="I13" s="9" t="str">
        <f t="shared" si="0"/>
        <v/>
      </c>
      <c r="J13" s="9"/>
      <c r="K13" s="9">
        <v>0.14499999999999999</v>
      </c>
      <c r="L13" s="9" t="str">
        <f t="shared" si="0"/>
        <v/>
      </c>
      <c r="M13" s="9"/>
      <c r="N13" s="9">
        <v>7.0000000000000001E-3</v>
      </c>
      <c r="O13" s="9" t="str">
        <f t="shared" si="0"/>
        <v/>
      </c>
      <c r="P13" s="9"/>
      <c r="Q13" s="9">
        <v>6.4000000000000001E-2</v>
      </c>
      <c r="R13" s="9" t="str">
        <f t="shared" si="0"/>
        <v/>
      </c>
      <c r="S13" s="9"/>
      <c r="T13" s="9">
        <v>0</v>
      </c>
      <c r="U13" s="9" t="str">
        <f t="shared" si="1"/>
        <v/>
      </c>
      <c r="V13" s="9"/>
      <c r="W13" s="9">
        <v>0</v>
      </c>
      <c r="X13" s="9" t="str">
        <f t="shared" si="1"/>
        <v/>
      </c>
      <c r="Y13" s="9"/>
      <c r="Z13" s="9"/>
      <c r="AA13" s="9" t="str">
        <f t="shared" si="1"/>
        <v/>
      </c>
      <c r="AB13" s="9"/>
      <c r="AC13" s="9"/>
      <c r="AD13" s="9" t="str">
        <f t="shared" si="1"/>
        <v/>
      </c>
      <c r="AE13" s="9"/>
      <c r="AF13" s="9">
        <v>1.4999999999999999E-2</v>
      </c>
      <c r="AG13" s="9" t="str">
        <f t="shared" si="1"/>
        <v/>
      </c>
      <c r="AH13" s="9"/>
      <c r="AI13" s="9">
        <v>4.1000000000000002E-2</v>
      </c>
      <c r="AJ13" s="9" t="str">
        <f t="shared" si="1"/>
        <v/>
      </c>
      <c r="AK13" s="9"/>
      <c r="AL13" s="9"/>
      <c r="AM13" s="9" t="str">
        <f t="shared" si="1"/>
        <v/>
      </c>
      <c r="AN13" s="9"/>
      <c r="AO13" s="9"/>
      <c r="AP13" s="9" t="str">
        <f t="shared" si="1"/>
        <v/>
      </c>
      <c r="AQ13" s="9"/>
    </row>
    <row r="14" spans="1:43" x14ac:dyDescent="0.25">
      <c r="A14" t="s">
        <v>33</v>
      </c>
      <c r="B14" s="9">
        <v>8.3040000000000005E-5</v>
      </c>
      <c r="C14" s="9" t="str">
        <f t="shared" si="0"/>
        <v/>
      </c>
      <c r="D14" s="9" t="s">
        <v>60</v>
      </c>
      <c r="E14" s="9">
        <v>8.4369999999999994E-5</v>
      </c>
      <c r="F14" s="9" t="str">
        <f t="shared" si="0"/>
        <v/>
      </c>
      <c r="G14" s="9" t="str">
        <f>+CONCATENATE(ROUND(E14,3), " ",F14)</f>
        <v xml:space="preserve">0 </v>
      </c>
      <c r="H14" s="9"/>
      <c r="I14" s="9" t="str">
        <f t="shared" si="0"/>
        <v>***</v>
      </c>
      <c r="J14" s="9" t="str">
        <f>+CONCATENATE(ROUND(H14,3), " ",I14)</f>
        <v>0 ***</v>
      </c>
      <c r="K14" s="9"/>
      <c r="L14" s="9" t="str">
        <f t="shared" si="0"/>
        <v>***</v>
      </c>
      <c r="M14" s="9" t="str">
        <f>+CONCATENATE(ROUND(K14,3), " ",L14)</f>
        <v>0 ***</v>
      </c>
      <c r="N14" s="9">
        <v>2.9999999999999997E-4</v>
      </c>
      <c r="O14" s="9" t="str">
        <f t="shared" si="0"/>
        <v/>
      </c>
      <c r="P14" s="9" t="str">
        <f>+CONCATENATE(ROUND(N14,3), " ",O14)</f>
        <v xml:space="preserve">0 </v>
      </c>
      <c r="Q14" s="9">
        <v>2.0000000000000001E-4</v>
      </c>
      <c r="R14" s="9" t="str">
        <f t="shared" ref="R14:AG58" si="2">+IF($A14&lt;&gt;"",IF(Q16&lt;0.01,"***",IF(Q16&lt;0.05,"**",IF(Q16&lt;0.1,"*",""))),"")</f>
        <v/>
      </c>
      <c r="S14" s="9" t="str">
        <f>+CONCATENATE(ROUND(Q14,3), " ",R14)</f>
        <v xml:space="preserve">0 </v>
      </c>
      <c r="T14" s="9"/>
      <c r="U14" s="9" t="str">
        <f t="shared" si="2"/>
        <v>***</v>
      </c>
      <c r="V14" s="9" t="str">
        <f>+CONCATENATE(ROUND(T14,3), " ",U14)</f>
        <v>0 ***</v>
      </c>
      <c r="W14" s="9"/>
      <c r="X14" s="9" t="str">
        <f t="shared" si="2"/>
        <v>***</v>
      </c>
      <c r="Y14" s="9" t="str">
        <f>+CONCATENATE(ROUND(W14,3), " ",X14)</f>
        <v>0 ***</v>
      </c>
      <c r="Z14" s="9">
        <v>2.9999999999999997E-4</v>
      </c>
      <c r="AA14" s="9" t="str">
        <f t="shared" si="2"/>
        <v/>
      </c>
      <c r="AB14" s="9" t="str">
        <f>+CONCATENATE(ROUND(Z14,3), " ",AA14)</f>
        <v xml:space="preserve">0 </v>
      </c>
      <c r="AC14" s="9">
        <v>5.7200000000000003E-6</v>
      </c>
      <c r="AD14" s="9" t="str">
        <f t="shared" si="2"/>
        <v/>
      </c>
      <c r="AE14" s="9" t="str">
        <f>+CONCATENATE(ROUND(AC14,3), " ",AD14)</f>
        <v xml:space="preserve">0 </v>
      </c>
      <c r="AF14" s="9"/>
      <c r="AG14" s="9" t="str">
        <f t="shared" si="2"/>
        <v>***</v>
      </c>
      <c r="AH14" s="9" t="str">
        <f>+CONCATENATE(ROUND(AF14,3), " ",AG14)</f>
        <v>0 ***</v>
      </c>
      <c r="AI14" s="9"/>
      <c r="AJ14" s="9" t="str">
        <f t="shared" si="1"/>
        <v>***</v>
      </c>
      <c r="AK14" s="9" t="str">
        <f>+CONCATENATE(ROUND(AI14,3), " ",AJ14)</f>
        <v>0 ***</v>
      </c>
      <c r="AL14" s="9">
        <v>2.0000000000000001E-4</v>
      </c>
      <c r="AM14" s="9" t="str">
        <f t="shared" si="1"/>
        <v/>
      </c>
      <c r="AN14" s="9" t="str">
        <f>+CONCATENATE(ROUND(AL14,3), " ",AM14)</f>
        <v xml:space="preserve">0 </v>
      </c>
      <c r="AO14" s="9">
        <v>2.0000000000000001E-4</v>
      </c>
      <c r="AP14" s="9" t="str">
        <f t="shared" si="1"/>
        <v/>
      </c>
      <c r="AQ14" s="9" t="str">
        <f>+CONCATENATE(ROUND(AO14,3), " ",AP14)</f>
        <v xml:space="preserve">0 </v>
      </c>
    </row>
    <row r="15" spans="1:43" x14ac:dyDescent="0.25">
      <c r="B15" s="9">
        <v>0</v>
      </c>
      <c r="C15" s="9" t="str">
        <f t="shared" si="0"/>
        <v/>
      </c>
      <c r="D15" s="9" t="s">
        <v>59</v>
      </c>
      <c r="E15" s="9">
        <v>0</v>
      </c>
      <c r="F15" s="9" t="str">
        <f t="shared" si="0"/>
        <v/>
      </c>
      <c r="G15" s="9" t="str">
        <f>+CONCATENATE("(",ROUND(E15,3),")")</f>
        <v>(0)</v>
      </c>
      <c r="H15" s="9"/>
      <c r="I15" s="9" t="str">
        <f t="shared" si="0"/>
        <v/>
      </c>
      <c r="J15" s="9" t="str">
        <f>+CONCATENATE("(",ROUND(H15,3),")")</f>
        <v>(0)</v>
      </c>
      <c r="K15" s="9"/>
      <c r="L15" s="9" t="str">
        <f t="shared" si="0"/>
        <v/>
      </c>
      <c r="M15" s="9" t="str">
        <f>+CONCATENATE("(",ROUND(K15,3),")")</f>
        <v>(0)</v>
      </c>
      <c r="N15" s="9">
        <v>0</v>
      </c>
      <c r="O15" s="9" t="str">
        <f t="shared" si="0"/>
        <v/>
      </c>
      <c r="P15" s="9" t="str">
        <f>+CONCATENATE("(",ROUND(N15,3),")")</f>
        <v>(0)</v>
      </c>
      <c r="Q15" s="9">
        <v>0</v>
      </c>
      <c r="R15" s="9" t="str">
        <f t="shared" si="2"/>
        <v/>
      </c>
      <c r="S15" s="9" t="str">
        <f>+CONCATENATE("(",ROUND(Q15,3),")")</f>
        <v>(0)</v>
      </c>
      <c r="T15" s="9"/>
      <c r="U15" s="9" t="str">
        <f t="shared" si="2"/>
        <v/>
      </c>
      <c r="V15" s="9" t="str">
        <f>+CONCATENATE("(",ROUND(T15,3),")")</f>
        <v>(0)</v>
      </c>
      <c r="W15" s="9"/>
      <c r="X15" s="9" t="str">
        <f t="shared" si="2"/>
        <v/>
      </c>
      <c r="Y15" s="9" t="str">
        <f>+CONCATENATE("(",ROUND(W15,3),")")</f>
        <v>(0)</v>
      </c>
      <c r="Z15" s="9">
        <v>1E-3</v>
      </c>
      <c r="AA15" s="9" t="str">
        <f t="shared" si="2"/>
        <v/>
      </c>
      <c r="AB15" s="9" t="str">
        <f>+CONCATENATE("(",ROUND(Z15,3),")")</f>
        <v>(0,001)</v>
      </c>
      <c r="AC15" s="9">
        <v>1E-3</v>
      </c>
      <c r="AD15" s="9" t="str">
        <f t="shared" si="2"/>
        <v/>
      </c>
      <c r="AE15" s="9" t="str">
        <f>+CONCATENATE("(",ROUND(AC15,3),")")</f>
        <v>(0,001)</v>
      </c>
      <c r="AF15" s="9"/>
      <c r="AG15" s="9" t="str">
        <f t="shared" si="2"/>
        <v/>
      </c>
      <c r="AH15" s="9" t="str">
        <f>+CONCATENATE("(",ROUND(AF15,3),")")</f>
        <v>(0)</v>
      </c>
      <c r="AI15" s="9"/>
      <c r="AJ15" s="9" t="str">
        <f t="shared" si="1"/>
        <v/>
      </c>
      <c r="AK15" s="9" t="str">
        <f>+CONCATENATE("(",ROUND(AI15,3),")")</f>
        <v>(0)</v>
      </c>
      <c r="AL15" s="9">
        <v>0</v>
      </c>
      <c r="AM15" s="9" t="str">
        <f t="shared" si="1"/>
        <v/>
      </c>
      <c r="AN15" s="9" t="str">
        <f>+CONCATENATE("(",ROUND(AL15,3),")")</f>
        <v>(0)</v>
      </c>
      <c r="AO15" s="9">
        <v>0</v>
      </c>
      <c r="AP15" s="9" t="str">
        <f t="shared" si="1"/>
        <v/>
      </c>
      <c r="AQ15" s="9" t="str">
        <f>+CONCATENATE("(",ROUND(AO15,3),")")</f>
        <v>(0)</v>
      </c>
    </row>
    <row r="16" spans="1:43" x14ac:dyDescent="0.25">
      <c r="B16" s="9">
        <v>0.69599999999999995</v>
      </c>
      <c r="C16" s="9" t="str">
        <f t="shared" si="0"/>
        <v/>
      </c>
      <c r="D16" s="9"/>
      <c r="E16" s="9">
        <v>0.65500000000000003</v>
      </c>
      <c r="F16" s="9" t="str">
        <f t="shared" si="0"/>
        <v/>
      </c>
      <c r="G16" s="9"/>
      <c r="H16" s="9"/>
      <c r="I16" s="9" t="str">
        <f t="shared" si="0"/>
        <v/>
      </c>
      <c r="J16" s="9"/>
      <c r="K16" s="9"/>
      <c r="L16" s="9" t="str">
        <f t="shared" si="0"/>
        <v/>
      </c>
      <c r="M16" s="9"/>
      <c r="N16" s="9">
        <v>0.214</v>
      </c>
      <c r="O16" s="9" t="str">
        <f t="shared" si="0"/>
        <v/>
      </c>
      <c r="P16" s="9"/>
      <c r="Q16" s="9">
        <v>0.26500000000000001</v>
      </c>
      <c r="R16" s="9" t="str">
        <f t="shared" si="2"/>
        <v/>
      </c>
      <c r="S16" s="9"/>
      <c r="T16" s="9"/>
      <c r="U16" s="9" t="str">
        <f t="shared" si="2"/>
        <v/>
      </c>
      <c r="V16" s="9"/>
      <c r="W16" s="9"/>
      <c r="X16" s="9" t="str">
        <f t="shared" si="2"/>
        <v/>
      </c>
      <c r="Y16" s="9"/>
      <c r="Z16" s="9">
        <v>0.61599999999999999</v>
      </c>
      <c r="AA16" s="9" t="str">
        <f t="shared" si="2"/>
        <v/>
      </c>
      <c r="AB16" s="9"/>
      <c r="AC16" s="9">
        <v>0.99099999999999999</v>
      </c>
      <c r="AD16" s="9" t="str">
        <f t="shared" si="2"/>
        <v/>
      </c>
      <c r="AE16" s="9"/>
      <c r="AF16" s="9"/>
      <c r="AG16" s="9" t="str">
        <f t="shared" si="2"/>
        <v/>
      </c>
      <c r="AH16" s="9"/>
      <c r="AI16" s="9"/>
      <c r="AJ16" s="9" t="str">
        <f t="shared" si="1"/>
        <v/>
      </c>
      <c r="AK16" s="9"/>
      <c r="AL16" s="9">
        <v>0.35299999999999998</v>
      </c>
      <c r="AM16" s="9" t="str">
        <f t="shared" si="1"/>
        <v/>
      </c>
      <c r="AN16" s="9"/>
      <c r="AO16" s="9">
        <v>0.33600000000000002</v>
      </c>
      <c r="AP16" s="9" t="str">
        <f t="shared" si="1"/>
        <v/>
      </c>
      <c r="AQ16" s="9"/>
    </row>
    <row r="17" spans="1:43" x14ac:dyDescent="0.25">
      <c r="A17" t="s">
        <v>34</v>
      </c>
      <c r="B17" s="9">
        <v>-2.2000000000000001E-3</v>
      </c>
      <c r="C17" s="9" t="str">
        <f t="shared" si="0"/>
        <v>***</v>
      </c>
      <c r="D17" s="9" t="s">
        <v>235</v>
      </c>
      <c r="E17" s="9">
        <v>-1.5E-3</v>
      </c>
      <c r="F17" s="9" t="str">
        <f t="shared" si="0"/>
        <v>**</v>
      </c>
      <c r="G17" s="9" t="str">
        <f>+CONCATENATE(ROUND(E17,3), " ",F17)</f>
        <v>-0,002 **</v>
      </c>
      <c r="H17" s="9">
        <v>-2.0000000000000001E-4</v>
      </c>
      <c r="I17" s="9" t="str">
        <f t="shared" si="0"/>
        <v/>
      </c>
      <c r="J17" s="9" t="str">
        <f>+CONCATENATE(ROUND(H17,3), " ",I17)</f>
        <v xml:space="preserve">0 </v>
      </c>
      <c r="K17" s="9">
        <v>-1E-4</v>
      </c>
      <c r="L17" s="9" t="str">
        <f t="shared" si="0"/>
        <v/>
      </c>
      <c r="M17" s="9" t="str">
        <f>+CONCATENATE(ROUND(K17,3), " ",L17)</f>
        <v xml:space="preserve">0 </v>
      </c>
      <c r="N17" s="9"/>
      <c r="O17" s="9" t="str">
        <f t="shared" si="0"/>
        <v>***</v>
      </c>
      <c r="P17" s="9" t="str">
        <f>+CONCATENATE(ROUND(N17,3), " ",O17)</f>
        <v>0 ***</v>
      </c>
      <c r="Q17" s="9"/>
      <c r="R17" s="9" t="str">
        <f t="shared" si="2"/>
        <v>***</v>
      </c>
      <c r="S17" s="9" t="str">
        <f>+CONCATENATE(ROUND(Q17,3), " ",R17)</f>
        <v>0 ***</v>
      </c>
      <c r="T17" s="9">
        <v>6.9999999999999999E-4</v>
      </c>
      <c r="U17" s="9" t="str">
        <f t="shared" si="2"/>
        <v/>
      </c>
      <c r="V17" s="9" t="str">
        <f>+CONCATENATE(ROUND(T17,3), " ",U17)</f>
        <v xml:space="preserve">0,001 </v>
      </c>
      <c r="W17" s="9">
        <v>8.0000000000000004E-4</v>
      </c>
      <c r="X17" s="9" t="str">
        <f t="shared" si="2"/>
        <v/>
      </c>
      <c r="Y17" s="9" t="str">
        <f>+CONCATENATE(ROUND(W17,3), " ",X17)</f>
        <v xml:space="preserve">0,001 </v>
      </c>
      <c r="Z17" s="9">
        <v>4.1000000000000003E-3</v>
      </c>
      <c r="AA17" s="9" t="str">
        <f t="shared" si="2"/>
        <v>***</v>
      </c>
      <c r="AB17" s="9" t="str">
        <f>+CONCATENATE(ROUND(Z17,3), " ",AA17)</f>
        <v>0,004 ***</v>
      </c>
      <c r="AC17" s="9">
        <v>2E-3</v>
      </c>
      <c r="AD17" s="9" t="str">
        <f t="shared" si="2"/>
        <v/>
      </c>
      <c r="AE17" s="9" t="str">
        <f>+CONCATENATE(ROUND(AC17,3), " ",AD17)</f>
        <v xml:space="preserve">0,002 </v>
      </c>
      <c r="AF17" s="9"/>
      <c r="AG17" s="9" t="str">
        <f t="shared" si="2"/>
        <v>***</v>
      </c>
      <c r="AH17" s="9" t="str">
        <f>+CONCATENATE(ROUND(AF17,3), " ",AG17)</f>
        <v>0 ***</v>
      </c>
      <c r="AI17" s="9"/>
      <c r="AJ17" s="9" t="str">
        <f t="shared" si="1"/>
        <v>***</v>
      </c>
      <c r="AK17" s="9" t="str">
        <f>+CONCATENATE(ROUND(AI17,3), " ",AJ17)</f>
        <v>0 ***</v>
      </c>
      <c r="AL17" s="9"/>
      <c r="AM17" s="9" t="str">
        <f t="shared" si="1"/>
        <v>***</v>
      </c>
      <c r="AN17" s="9" t="str">
        <f>+CONCATENATE(ROUND(AL17,3), " ",AM17)</f>
        <v>0 ***</v>
      </c>
      <c r="AO17" s="9"/>
      <c r="AP17" s="9" t="str">
        <f t="shared" si="1"/>
        <v>***</v>
      </c>
      <c r="AQ17" s="9" t="str">
        <f>+CONCATENATE(ROUND(AO17,3), " ",AP17)</f>
        <v>0 ***</v>
      </c>
    </row>
    <row r="18" spans="1:43" x14ac:dyDescent="0.25">
      <c r="B18" s="9">
        <v>1E-3</v>
      </c>
      <c r="C18" s="9" t="str">
        <f t="shared" si="0"/>
        <v/>
      </c>
      <c r="D18" s="9" t="s">
        <v>51</v>
      </c>
      <c r="E18" s="9">
        <v>1E-3</v>
      </c>
      <c r="F18" s="9" t="str">
        <f t="shared" si="0"/>
        <v/>
      </c>
      <c r="G18" s="9" t="str">
        <f>+CONCATENATE("(",ROUND(E18,3),")")</f>
        <v>(0,001)</v>
      </c>
      <c r="H18" s="9">
        <v>1E-3</v>
      </c>
      <c r="I18" s="9" t="str">
        <f t="shared" si="0"/>
        <v/>
      </c>
      <c r="J18" s="9" t="str">
        <f>+CONCATENATE("(",ROUND(H18,3),")")</f>
        <v>(0,001)</v>
      </c>
      <c r="K18" s="9">
        <v>1E-3</v>
      </c>
      <c r="L18" s="9" t="str">
        <f t="shared" si="0"/>
        <v/>
      </c>
      <c r="M18" s="9" t="str">
        <f>+CONCATENATE("(",ROUND(K18,3),")")</f>
        <v>(0,001)</v>
      </c>
      <c r="N18" s="9"/>
      <c r="O18" s="9" t="str">
        <f t="shared" si="0"/>
        <v/>
      </c>
      <c r="P18" s="9" t="str">
        <f>+CONCATENATE("(",ROUND(N18,3),")")</f>
        <v>(0)</v>
      </c>
      <c r="Q18" s="9"/>
      <c r="R18" s="9" t="str">
        <f t="shared" si="2"/>
        <v/>
      </c>
      <c r="S18" s="9" t="str">
        <f>+CONCATENATE("(",ROUND(Q18,3),")")</f>
        <v>(0)</v>
      </c>
      <c r="T18" s="9">
        <v>1E-3</v>
      </c>
      <c r="U18" s="9" t="str">
        <f t="shared" si="2"/>
        <v/>
      </c>
      <c r="V18" s="9" t="str">
        <f>+CONCATENATE("(",ROUND(T18,3),")")</f>
        <v>(0,001)</v>
      </c>
      <c r="W18" s="9">
        <v>1E-3</v>
      </c>
      <c r="X18" s="9" t="str">
        <f t="shared" si="2"/>
        <v/>
      </c>
      <c r="Y18" s="9" t="str">
        <f>+CONCATENATE("(",ROUND(W18,3),")")</f>
        <v>(0,001)</v>
      </c>
      <c r="Z18" s="9">
        <v>2E-3</v>
      </c>
      <c r="AA18" s="9" t="str">
        <f t="shared" si="2"/>
        <v/>
      </c>
      <c r="AB18" s="9" t="str">
        <f>+CONCATENATE("(",ROUND(Z18,3),")")</f>
        <v>(0,002)</v>
      </c>
      <c r="AC18" s="9">
        <v>2E-3</v>
      </c>
      <c r="AD18" s="9" t="str">
        <f t="shared" si="2"/>
        <v/>
      </c>
      <c r="AE18" s="9" t="str">
        <f>+CONCATENATE("(",ROUND(AC18,3),")")</f>
        <v>(0,002)</v>
      </c>
      <c r="AF18" s="9"/>
      <c r="AG18" s="9" t="str">
        <f t="shared" si="2"/>
        <v/>
      </c>
      <c r="AH18" s="9" t="str">
        <f>+CONCATENATE("(",ROUND(AF18,3),")")</f>
        <v>(0)</v>
      </c>
      <c r="AI18" s="9"/>
      <c r="AJ18" s="9" t="str">
        <f t="shared" si="1"/>
        <v/>
      </c>
      <c r="AK18" s="9" t="str">
        <f>+CONCATENATE("(",ROUND(AI18,3),")")</f>
        <v>(0)</v>
      </c>
      <c r="AL18" s="9"/>
      <c r="AM18" s="9" t="str">
        <f t="shared" si="1"/>
        <v/>
      </c>
      <c r="AN18" s="9" t="str">
        <f>+CONCATENATE("(",ROUND(AL18,3),")")</f>
        <v>(0)</v>
      </c>
      <c r="AO18" s="9"/>
      <c r="AP18" s="9" t="str">
        <f t="shared" si="1"/>
        <v/>
      </c>
      <c r="AQ18" s="9" t="str">
        <f>+CONCATENATE("(",ROUND(AO18,3),")")</f>
        <v>(0)</v>
      </c>
    </row>
    <row r="19" spans="1:43" x14ac:dyDescent="0.25">
      <c r="B19" s="9">
        <v>1E-3</v>
      </c>
      <c r="C19" s="9" t="str">
        <f t="shared" si="0"/>
        <v/>
      </c>
      <c r="D19" s="9"/>
      <c r="E19" s="9">
        <v>1.4999999999999999E-2</v>
      </c>
      <c r="F19" s="9" t="str">
        <f t="shared" si="0"/>
        <v/>
      </c>
      <c r="G19" s="9"/>
      <c r="H19" s="9">
        <v>0.753</v>
      </c>
      <c r="I19" s="9" t="str">
        <f t="shared" si="0"/>
        <v/>
      </c>
      <c r="J19" s="9"/>
      <c r="K19" s="9">
        <v>0.85699999999999998</v>
      </c>
      <c r="L19" s="9" t="str">
        <f t="shared" si="0"/>
        <v/>
      </c>
      <c r="M19" s="9"/>
      <c r="N19" s="9"/>
      <c r="O19" s="9" t="str">
        <f t="shared" si="0"/>
        <v/>
      </c>
      <c r="P19" s="9"/>
      <c r="Q19" s="9"/>
      <c r="R19" s="9" t="str">
        <f t="shared" si="2"/>
        <v/>
      </c>
      <c r="S19" s="9"/>
      <c r="T19" s="9">
        <v>0.622</v>
      </c>
      <c r="U19" s="9" t="str">
        <f t="shared" si="2"/>
        <v/>
      </c>
      <c r="V19" s="9"/>
      <c r="W19" s="9">
        <v>0.58399999999999996</v>
      </c>
      <c r="X19" s="9" t="str">
        <f t="shared" si="2"/>
        <v/>
      </c>
      <c r="Y19" s="9"/>
      <c r="Z19" s="9">
        <v>8.0000000000000002E-3</v>
      </c>
      <c r="AA19" s="9" t="str">
        <f t="shared" si="2"/>
        <v/>
      </c>
      <c r="AB19" s="9"/>
      <c r="AC19" s="9">
        <v>0.20799999999999999</v>
      </c>
      <c r="AD19" s="9" t="str">
        <f t="shared" si="2"/>
        <v/>
      </c>
      <c r="AE19" s="9"/>
      <c r="AF19" s="9"/>
      <c r="AG19" s="9" t="str">
        <f t="shared" si="2"/>
        <v/>
      </c>
      <c r="AH19" s="9"/>
      <c r="AI19" s="9"/>
      <c r="AJ19" s="9" t="str">
        <f t="shared" si="1"/>
        <v/>
      </c>
      <c r="AK19" s="9"/>
      <c r="AL19" s="9"/>
      <c r="AM19" s="9" t="str">
        <f t="shared" si="1"/>
        <v/>
      </c>
      <c r="AN19" s="9"/>
      <c r="AO19" s="9"/>
      <c r="AP19" s="9" t="str">
        <f t="shared" si="1"/>
        <v/>
      </c>
      <c r="AQ19" s="9"/>
    </row>
    <row r="20" spans="1:43" x14ac:dyDescent="0.25">
      <c r="A20" t="s">
        <v>35</v>
      </c>
      <c r="B20" s="9">
        <v>-0.21909999999999999</v>
      </c>
      <c r="C20" s="9" t="str">
        <f t="shared" si="0"/>
        <v/>
      </c>
      <c r="D20" s="9" t="s">
        <v>236</v>
      </c>
      <c r="E20" s="9">
        <v>-0.15279999999999999</v>
      </c>
      <c r="F20" s="9" t="str">
        <f t="shared" si="0"/>
        <v/>
      </c>
      <c r="G20" s="9" t="str">
        <f>+CONCATENATE(ROUND(E20,3), " ",F20)</f>
        <v xml:space="preserve">-0,153 </v>
      </c>
      <c r="H20" s="9"/>
      <c r="I20" s="9" t="str">
        <f t="shared" si="0"/>
        <v>***</v>
      </c>
      <c r="J20" s="9" t="str">
        <f>+CONCATENATE(ROUND(H20,3), " ",I20)</f>
        <v>0 ***</v>
      </c>
      <c r="K20" s="9"/>
      <c r="L20" s="9" t="str">
        <f t="shared" si="0"/>
        <v>***</v>
      </c>
      <c r="M20" s="9" t="str">
        <f>+CONCATENATE(ROUND(K20,3), " ",L20)</f>
        <v>0 ***</v>
      </c>
      <c r="N20" s="9">
        <v>-0.21840000000000001</v>
      </c>
      <c r="O20" s="9" t="str">
        <f t="shared" si="0"/>
        <v/>
      </c>
      <c r="P20" s="9" t="str">
        <f>+CONCATENATE(ROUND(N20,3), " ",O20)</f>
        <v xml:space="preserve">-0,218 </v>
      </c>
      <c r="Q20" s="9">
        <v>-0.1726</v>
      </c>
      <c r="R20" s="9" t="str">
        <f t="shared" si="2"/>
        <v/>
      </c>
      <c r="S20" s="9" t="str">
        <f>+CONCATENATE(ROUND(Q20,3), " ",R20)</f>
        <v xml:space="preserve">-0,173 </v>
      </c>
      <c r="T20" s="9">
        <v>-0.27710000000000001</v>
      </c>
      <c r="U20" s="9" t="str">
        <f t="shared" si="2"/>
        <v/>
      </c>
      <c r="V20" s="9" t="str">
        <f>+CONCATENATE(ROUND(T20,3), " ",U20)</f>
        <v xml:space="preserve">-0,277 </v>
      </c>
      <c r="W20" s="9">
        <v>-0.2397</v>
      </c>
      <c r="X20" s="9" t="str">
        <f t="shared" si="2"/>
        <v/>
      </c>
      <c r="Y20" s="9" t="str">
        <f>+CONCATENATE(ROUND(W20,3), " ",X20)</f>
        <v xml:space="preserve">-0,24 </v>
      </c>
      <c r="Z20" s="9">
        <v>0.19539999999999999</v>
      </c>
      <c r="AA20" s="9" t="str">
        <f t="shared" si="2"/>
        <v/>
      </c>
      <c r="AB20" s="9" t="str">
        <f>+CONCATENATE(ROUND(Z20,3), " ",AA20)</f>
        <v xml:space="preserve">0,195 </v>
      </c>
      <c r="AC20" s="9">
        <v>0.14699999999999999</v>
      </c>
      <c r="AD20" s="9" t="str">
        <f t="shared" si="2"/>
        <v/>
      </c>
      <c r="AE20" s="9" t="str">
        <f>+CONCATENATE(ROUND(AC20,3), " ",AD20)</f>
        <v xml:space="preserve">0,147 </v>
      </c>
      <c r="AF20" s="9"/>
      <c r="AG20" s="9" t="str">
        <f t="shared" si="2"/>
        <v>***</v>
      </c>
      <c r="AH20" s="9" t="str">
        <f>+CONCATENATE(ROUND(AF20,3), " ",AG20)</f>
        <v>0 ***</v>
      </c>
      <c r="AI20" s="9"/>
      <c r="AJ20" s="9" t="str">
        <f t="shared" si="1"/>
        <v>***</v>
      </c>
      <c r="AK20" s="9" t="str">
        <f>+CONCATENATE(ROUND(AI20,3), " ",AJ20)</f>
        <v>0 ***</v>
      </c>
      <c r="AL20" s="9">
        <v>-0.222</v>
      </c>
      <c r="AM20" s="9" t="str">
        <f t="shared" si="1"/>
        <v/>
      </c>
      <c r="AN20" s="9" t="str">
        <f>+CONCATENATE(ROUND(AL20,3), " ",AM20)</f>
        <v xml:space="preserve">-0,222 </v>
      </c>
      <c r="AO20" s="9">
        <v>-0.15609999999999999</v>
      </c>
      <c r="AP20" s="9" t="str">
        <f t="shared" si="1"/>
        <v/>
      </c>
      <c r="AQ20" s="9" t="str">
        <f>+CONCATENATE(ROUND(AO20,3), " ",AP20)</f>
        <v xml:space="preserve">-0,156 </v>
      </c>
    </row>
    <row r="21" spans="1:43" x14ac:dyDescent="0.25">
      <c r="B21" s="9">
        <v>0.14299999999999999</v>
      </c>
      <c r="C21" s="9" t="str">
        <f t="shared" si="0"/>
        <v/>
      </c>
      <c r="D21" s="9" t="s">
        <v>237</v>
      </c>
      <c r="E21" s="9">
        <v>0.129</v>
      </c>
      <c r="F21" s="9" t="str">
        <f t="shared" si="0"/>
        <v/>
      </c>
      <c r="G21" s="9" t="str">
        <f>+CONCATENATE("(",ROUND(E21,3),")")</f>
        <v>(0,129)</v>
      </c>
      <c r="H21" s="9"/>
      <c r="I21" s="9" t="str">
        <f t="shared" si="0"/>
        <v/>
      </c>
      <c r="J21" s="9" t="str">
        <f>+CONCATENATE("(",ROUND(H21,3),")")</f>
        <v>(0)</v>
      </c>
      <c r="K21" s="9"/>
      <c r="L21" s="9" t="str">
        <f t="shared" si="0"/>
        <v/>
      </c>
      <c r="M21" s="9" t="str">
        <f>+CONCATENATE("(",ROUND(K21,3),")")</f>
        <v>(0)</v>
      </c>
      <c r="N21" s="9">
        <v>0.16600000000000001</v>
      </c>
      <c r="O21" s="9" t="str">
        <f t="shared" si="0"/>
        <v/>
      </c>
      <c r="P21" s="9" t="str">
        <f>+CONCATENATE("(",ROUND(N21,3),")")</f>
        <v>(0,166)</v>
      </c>
      <c r="Q21" s="9">
        <v>0.14799999999999999</v>
      </c>
      <c r="R21" s="9" t="str">
        <f t="shared" si="2"/>
        <v/>
      </c>
      <c r="S21" s="9" t="str">
        <f>+CONCATENATE("(",ROUND(Q21,3),")")</f>
        <v>(0,148)</v>
      </c>
      <c r="T21" s="9">
        <v>0.36299999999999999</v>
      </c>
      <c r="U21" s="9" t="str">
        <f t="shared" si="2"/>
        <v/>
      </c>
      <c r="V21" s="9" t="str">
        <f>+CONCATENATE("(",ROUND(T21,3),")")</f>
        <v>(0,363)</v>
      </c>
      <c r="W21" s="9">
        <v>0.33200000000000002</v>
      </c>
      <c r="X21" s="9" t="str">
        <f t="shared" si="2"/>
        <v/>
      </c>
      <c r="Y21" s="9" t="str">
        <f>+CONCATENATE("(",ROUND(W21,3),")")</f>
        <v>(0,332)</v>
      </c>
      <c r="Z21" s="9">
        <v>0.36799999999999999</v>
      </c>
      <c r="AA21" s="9" t="str">
        <f t="shared" si="2"/>
        <v/>
      </c>
      <c r="AB21" s="9" t="str">
        <f>+CONCATENATE("(",ROUND(Z21,3),")")</f>
        <v>(0,368)</v>
      </c>
      <c r="AC21" s="9">
        <v>0.34799999999999998</v>
      </c>
      <c r="AD21" s="9" t="str">
        <f t="shared" si="2"/>
        <v/>
      </c>
      <c r="AE21" s="9" t="str">
        <f>+CONCATENATE("(",ROUND(AC21,3),")")</f>
        <v>(0,348)</v>
      </c>
      <c r="AF21" s="9"/>
      <c r="AG21" s="9" t="str">
        <f t="shared" si="2"/>
        <v/>
      </c>
      <c r="AH21" s="9" t="str">
        <f>+CONCATENATE("(",ROUND(AF21,3),")")</f>
        <v>(0)</v>
      </c>
      <c r="AI21" s="9"/>
      <c r="AJ21" s="9" t="str">
        <f t="shared" si="1"/>
        <v/>
      </c>
      <c r="AK21" s="9" t="str">
        <f>+CONCATENATE("(",ROUND(AI21,3),")")</f>
        <v>(0)</v>
      </c>
      <c r="AL21" s="9">
        <v>0.16600000000000001</v>
      </c>
      <c r="AM21" s="9" t="str">
        <f t="shared" si="1"/>
        <v/>
      </c>
      <c r="AN21" s="9" t="str">
        <f>+CONCATENATE("(",ROUND(AL21,3),")")</f>
        <v>(0,166)</v>
      </c>
      <c r="AO21" s="9">
        <v>0.14699999999999999</v>
      </c>
      <c r="AP21" s="9" t="str">
        <f t="shared" si="1"/>
        <v/>
      </c>
      <c r="AQ21" s="9" t="str">
        <f>+CONCATENATE("(",ROUND(AO21,3),")")</f>
        <v>(0,147)</v>
      </c>
    </row>
    <row r="22" spans="1:43" x14ac:dyDescent="0.25">
      <c r="B22" s="9">
        <v>0.128</v>
      </c>
      <c r="C22" s="9" t="str">
        <f t="shared" si="0"/>
        <v/>
      </c>
      <c r="D22" s="9"/>
      <c r="E22" s="9">
        <v>0.23699999999999999</v>
      </c>
      <c r="F22" s="9" t="str">
        <f t="shared" si="0"/>
        <v/>
      </c>
      <c r="G22" s="9"/>
      <c r="H22" s="9"/>
      <c r="I22" s="9" t="str">
        <f t="shared" si="0"/>
        <v/>
      </c>
      <c r="J22" s="9"/>
      <c r="K22" s="9"/>
      <c r="L22" s="9" t="str">
        <f t="shared" si="0"/>
        <v/>
      </c>
      <c r="M22" s="9"/>
      <c r="N22" s="9">
        <v>0.189</v>
      </c>
      <c r="O22" s="9" t="str">
        <f t="shared" si="0"/>
        <v/>
      </c>
      <c r="P22" s="9"/>
      <c r="Q22" s="9">
        <v>0.24399999999999999</v>
      </c>
      <c r="R22" s="9" t="str">
        <f t="shared" si="2"/>
        <v/>
      </c>
      <c r="S22" s="9"/>
      <c r="T22" s="9">
        <v>0.44600000000000001</v>
      </c>
      <c r="U22" s="9" t="str">
        <f t="shared" si="2"/>
        <v/>
      </c>
      <c r="V22" s="9"/>
      <c r="W22" s="9">
        <v>0.47099999999999997</v>
      </c>
      <c r="X22" s="9" t="str">
        <f t="shared" si="2"/>
        <v/>
      </c>
      <c r="Y22" s="9"/>
      <c r="Z22" s="9">
        <v>0.59499999999999997</v>
      </c>
      <c r="AA22" s="9" t="str">
        <f t="shared" si="2"/>
        <v/>
      </c>
      <c r="AB22" s="9"/>
      <c r="AC22" s="9">
        <v>0.67200000000000004</v>
      </c>
      <c r="AD22" s="9" t="str">
        <f t="shared" si="2"/>
        <v/>
      </c>
      <c r="AE22" s="9"/>
      <c r="AF22" s="9"/>
      <c r="AG22" s="9" t="str">
        <f t="shared" si="2"/>
        <v/>
      </c>
      <c r="AH22" s="9"/>
      <c r="AI22" s="9"/>
      <c r="AJ22" s="9" t="str">
        <f t="shared" si="1"/>
        <v/>
      </c>
      <c r="AK22" s="9"/>
      <c r="AL22" s="9">
        <v>0.182</v>
      </c>
      <c r="AM22" s="9" t="str">
        <f t="shared" si="1"/>
        <v/>
      </c>
      <c r="AN22" s="9"/>
      <c r="AO22" s="9">
        <v>0.28899999999999998</v>
      </c>
      <c r="AP22" s="9" t="str">
        <f t="shared" si="1"/>
        <v/>
      </c>
      <c r="AQ22" s="9"/>
    </row>
    <row r="23" spans="1:43" x14ac:dyDescent="0.25">
      <c r="A23" t="s">
        <v>36</v>
      </c>
      <c r="B23" s="9">
        <v>1.182E-5</v>
      </c>
      <c r="C23" s="9" t="str">
        <f t="shared" si="0"/>
        <v/>
      </c>
      <c r="D23" s="9" t="s">
        <v>60</v>
      </c>
      <c r="E23" s="9">
        <v>1.7419999999999999E-5</v>
      </c>
      <c r="F23" s="9" t="str">
        <f t="shared" si="0"/>
        <v/>
      </c>
      <c r="G23" s="9" t="str">
        <f>+CONCATENATE(ROUND(E23,3), " ",F23)</f>
        <v xml:space="preserve">0 </v>
      </c>
      <c r="H23" s="9"/>
      <c r="I23" s="9" t="str">
        <f t="shared" si="0"/>
        <v>***</v>
      </c>
      <c r="J23" s="9" t="str">
        <f>+CONCATENATE(ROUND(H23,3), " ",I23)</f>
        <v>0 ***</v>
      </c>
      <c r="K23" s="9"/>
      <c r="L23" s="9" t="str">
        <f t="shared" si="0"/>
        <v>***</v>
      </c>
      <c r="M23" s="9" t="str">
        <f>+CONCATENATE(ROUND(K23,3), " ",L23)</f>
        <v>0 ***</v>
      </c>
      <c r="N23" s="9"/>
      <c r="O23" s="9" t="str">
        <f t="shared" si="0"/>
        <v>***</v>
      </c>
      <c r="P23" s="9" t="str">
        <f>+CONCATENATE(ROUND(N23,3), " ",O23)</f>
        <v>0 ***</v>
      </c>
      <c r="Q23" s="9"/>
      <c r="R23" s="9" t="str">
        <f t="shared" si="2"/>
        <v>***</v>
      </c>
      <c r="S23" s="9" t="str">
        <f>+CONCATENATE(ROUND(Q23,3), " ",R23)</f>
        <v>0 ***</v>
      </c>
      <c r="T23" s="9"/>
      <c r="U23" s="9" t="str">
        <f t="shared" si="2"/>
        <v>***</v>
      </c>
      <c r="V23" s="9" t="str">
        <f>+CONCATENATE(ROUND(T23,3), " ",U23)</f>
        <v>0 ***</v>
      </c>
      <c r="W23" s="9"/>
      <c r="X23" s="9" t="str">
        <f t="shared" si="2"/>
        <v>***</v>
      </c>
      <c r="Y23" s="9" t="str">
        <f>+CONCATENATE(ROUND(W23,3), " ",X23)</f>
        <v>0 ***</v>
      </c>
      <c r="Z23" s="9"/>
      <c r="AA23" s="9" t="str">
        <f t="shared" si="2"/>
        <v>***</v>
      </c>
      <c r="AB23" s="9" t="str">
        <f>+CONCATENATE(ROUND(Z23,3), " ",AA23)</f>
        <v>0 ***</v>
      </c>
      <c r="AC23" s="9"/>
      <c r="AD23" s="9" t="str">
        <f t="shared" si="2"/>
        <v>***</v>
      </c>
      <c r="AE23" s="9" t="str">
        <f>+CONCATENATE(ROUND(AC23,3), " ",AD23)</f>
        <v>0 ***</v>
      </c>
      <c r="AF23" s="9"/>
      <c r="AG23" s="9" t="str">
        <f t="shared" si="2"/>
        <v>***</v>
      </c>
      <c r="AH23" s="9" t="str">
        <f>+CONCATENATE(ROUND(AF23,3), " ",AG23)</f>
        <v>0 ***</v>
      </c>
      <c r="AI23" s="9"/>
      <c r="AJ23" s="9" t="str">
        <f t="shared" si="1"/>
        <v>***</v>
      </c>
      <c r="AK23" s="9" t="str">
        <f>+CONCATENATE(ROUND(AI23,3), " ",AJ23)</f>
        <v>0 ***</v>
      </c>
      <c r="AL23" s="9">
        <v>2.5420000000000001E-5</v>
      </c>
      <c r="AM23" s="9" t="str">
        <f t="shared" si="1"/>
        <v/>
      </c>
      <c r="AN23" s="9" t="str">
        <f>+CONCATENATE(ROUND(AL23,3), " ",AM23)</f>
        <v xml:space="preserve">0 </v>
      </c>
      <c r="AO23" s="9">
        <v>2.0489999999999999E-5</v>
      </c>
      <c r="AP23" s="9" t="str">
        <f t="shared" si="1"/>
        <v/>
      </c>
      <c r="AQ23" s="9" t="str">
        <f>+CONCATENATE(ROUND(AO23,3), " ",AP23)</f>
        <v xml:space="preserve">0 </v>
      </c>
    </row>
    <row r="24" spans="1:43" x14ac:dyDescent="0.25">
      <c r="B24" s="9">
        <v>2.19E-5</v>
      </c>
      <c r="C24" s="9" t="str">
        <f t="shared" si="0"/>
        <v/>
      </c>
      <c r="D24" s="9" t="s">
        <v>59</v>
      </c>
      <c r="E24" s="9">
        <v>1.9400000000000001E-5</v>
      </c>
      <c r="F24" s="9" t="str">
        <f t="shared" si="0"/>
        <v/>
      </c>
      <c r="G24" s="9" t="str">
        <f>+CONCATENATE("(",ROUND(E24,3),")")</f>
        <v>(0)</v>
      </c>
      <c r="H24" s="9"/>
      <c r="I24" s="9" t="str">
        <f t="shared" si="0"/>
        <v/>
      </c>
      <c r="J24" s="9" t="str">
        <f>+CONCATENATE("(",ROUND(H24,3),")")</f>
        <v>(0)</v>
      </c>
      <c r="K24" s="9"/>
      <c r="L24" s="9" t="str">
        <f t="shared" si="0"/>
        <v/>
      </c>
      <c r="M24" s="9" t="str">
        <f>+CONCATENATE("(",ROUND(K24,3),")")</f>
        <v>(0)</v>
      </c>
      <c r="N24" s="9"/>
      <c r="O24" s="9" t="str">
        <f t="shared" si="0"/>
        <v/>
      </c>
      <c r="P24" s="9" t="str">
        <f>+CONCATENATE("(",ROUND(N24,3),")")</f>
        <v>(0)</v>
      </c>
      <c r="Q24" s="9"/>
      <c r="R24" s="9" t="str">
        <f t="shared" si="2"/>
        <v/>
      </c>
      <c r="S24" s="9" t="str">
        <f>+CONCATENATE("(",ROUND(Q24,3),")")</f>
        <v>(0)</v>
      </c>
      <c r="T24" s="9"/>
      <c r="U24" s="9" t="str">
        <f t="shared" si="2"/>
        <v/>
      </c>
      <c r="V24" s="9" t="str">
        <f>+CONCATENATE("(",ROUND(T24,3),")")</f>
        <v>(0)</v>
      </c>
      <c r="W24" s="9"/>
      <c r="X24" s="9" t="str">
        <f t="shared" si="2"/>
        <v/>
      </c>
      <c r="Y24" s="9" t="str">
        <f>+CONCATENATE("(",ROUND(W24,3),")")</f>
        <v>(0)</v>
      </c>
      <c r="Z24" s="9"/>
      <c r="AA24" s="9" t="str">
        <f t="shared" si="2"/>
        <v/>
      </c>
      <c r="AB24" s="9" t="str">
        <f>+CONCATENATE("(",ROUND(Z24,3),")")</f>
        <v>(0)</v>
      </c>
      <c r="AC24" s="9"/>
      <c r="AD24" s="9" t="str">
        <f t="shared" si="2"/>
        <v/>
      </c>
      <c r="AE24" s="9" t="str">
        <f>+CONCATENATE("(",ROUND(AC24,3),")")</f>
        <v>(0)</v>
      </c>
      <c r="AF24" s="9"/>
      <c r="AG24" s="9" t="str">
        <f t="shared" si="2"/>
        <v/>
      </c>
      <c r="AH24" s="9" t="str">
        <f>+CONCATENATE("(",ROUND(AF24,3),")")</f>
        <v>(0)</v>
      </c>
      <c r="AI24" s="9"/>
      <c r="AJ24" s="9" t="str">
        <f t="shared" si="1"/>
        <v/>
      </c>
      <c r="AK24" s="9" t="str">
        <f>+CONCATENATE("(",ROUND(AI24,3),")")</f>
        <v>(0)</v>
      </c>
      <c r="AL24" s="9">
        <v>2.4899999999999999E-5</v>
      </c>
      <c r="AM24" s="9" t="str">
        <f t="shared" si="1"/>
        <v/>
      </c>
      <c r="AN24" s="9" t="str">
        <f>+CONCATENATE("(",ROUND(AL24,3),")")</f>
        <v>(0)</v>
      </c>
      <c r="AO24" s="9">
        <v>2.16E-5</v>
      </c>
      <c r="AP24" s="9" t="str">
        <f t="shared" si="1"/>
        <v/>
      </c>
      <c r="AQ24" s="9" t="str">
        <f>+CONCATENATE("(",ROUND(AO24,3),")")</f>
        <v>(0)</v>
      </c>
    </row>
    <row r="25" spans="1:43" x14ac:dyDescent="0.25">
      <c r="B25" s="9">
        <v>0.58899999999999997</v>
      </c>
      <c r="C25" s="9" t="str">
        <f t="shared" si="0"/>
        <v/>
      </c>
      <c r="D25" s="9"/>
      <c r="E25" s="9">
        <v>0.37</v>
      </c>
      <c r="F25" s="9" t="str">
        <f t="shared" si="0"/>
        <v/>
      </c>
      <c r="G25" s="9"/>
      <c r="H25" s="9"/>
      <c r="I25" s="9" t="str">
        <f t="shared" si="0"/>
        <v/>
      </c>
      <c r="J25" s="9"/>
      <c r="K25" s="9"/>
      <c r="L25" s="9" t="str">
        <f t="shared" si="0"/>
        <v/>
      </c>
      <c r="M25" s="9"/>
      <c r="N25" s="9"/>
      <c r="O25" s="9" t="str">
        <f t="shared" si="0"/>
        <v/>
      </c>
      <c r="P25" s="9"/>
      <c r="Q25" s="9"/>
      <c r="R25" s="9" t="str">
        <f t="shared" si="2"/>
        <v/>
      </c>
      <c r="S25" s="9"/>
      <c r="T25" s="9"/>
      <c r="U25" s="9" t="str">
        <f t="shared" si="2"/>
        <v/>
      </c>
      <c r="V25" s="9"/>
      <c r="W25" s="9"/>
      <c r="X25" s="9" t="str">
        <f t="shared" si="2"/>
        <v/>
      </c>
      <c r="Y25" s="9"/>
      <c r="Z25" s="9"/>
      <c r="AA25" s="9" t="str">
        <f t="shared" si="2"/>
        <v/>
      </c>
      <c r="AB25" s="9"/>
      <c r="AC25" s="9"/>
      <c r="AD25" s="9" t="str">
        <f t="shared" si="2"/>
        <v/>
      </c>
      <c r="AE25" s="9"/>
      <c r="AF25" s="9"/>
      <c r="AG25" s="9" t="str">
        <f t="shared" si="2"/>
        <v/>
      </c>
      <c r="AH25" s="9"/>
      <c r="AI25" s="9"/>
      <c r="AJ25" s="9" t="str">
        <f t="shared" si="1"/>
        <v/>
      </c>
      <c r="AK25" s="9"/>
      <c r="AL25" s="9">
        <v>0.308</v>
      </c>
      <c r="AM25" s="9" t="str">
        <f t="shared" si="1"/>
        <v/>
      </c>
      <c r="AN25" s="9"/>
      <c r="AO25" s="9">
        <v>0.34399999999999997</v>
      </c>
      <c r="AP25" s="9" t="str">
        <f t="shared" si="1"/>
        <v/>
      </c>
      <c r="AQ25" s="9"/>
    </row>
    <row r="26" spans="1:43" x14ac:dyDescent="0.25">
      <c r="A26" t="s">
        <v>37</v>
      </c>
      <c r="B26" s="9">
        <v>1.9710000000000001E-7</v>
      </c>
      <c r="C26" s="9" t="str">
        <f t="shared" si="0"/>
        <v>**</v>
      </c>
      <c r="D26" s="9" t="s">
        <v>234</v>
      </c>
      <c r="E26" s="9">
        <v>1.4399999999999999E-7</v>
      </c>
      <c r="F26" s="9" t="str">
        <f t="shared" si="0"/>
        <v>*</v>
      </c>
      <c r="G26" s="9" t="str">
        <f>+CONCATENATE(ROUND(E26,3), " ",F26)</f>
        <v>0 *</v>
      </c>
      <c r="H26" s="9">
        <v>9.1450000000000002E-8</v>
      </c>
      <c r="I26" s="9" t="str">
        <f t="shared" si="0"/>
        <v/>
      </c>
      <c r="J26" s="9" t="str">
        <f>+CONCATENATE(ROUND(H26,3), " ",I26)</f>
        <v xml:space="preserve">0 </v>
      </c>
      <c r="K26" s="9">
        <v>8.2189999999999997E-8</v>
      </c>
      <c r="L26" s="9" t="str">
        <f t="shared" si="0"/>
        <v/>
      </c>
      <c r="M26" s="9" t="str">
        <f>+CONCATENATE(ROUND(K26,3), " ",L26)</f>
        <v xml:space="preserve">0 </v>
      </c>
      <c r="N26" s="9"/>
      <c r="O26" s="9" t="str">
        <f t="shared" si="0"/>
        <v>***</v>
      </c>
      <c r="P26" s="9" t="str">
        <f>+CONCATENATE(ROUND(N26,3), " ",O26)</f>
        <v>0 ***</v>
      </c>
      <c r="Q26" s="9"/>
      <c r="R26" s="9" t="str">
        <f t="shared" si="2"/>
        <v>***</v>
      </c>
      <c r="S26" s="9" t="str">
        <f>+CONCATENATE(ROUND(Q26,3), " ",R26)</f>
        <v>0 ***</v>
      </c>
      <c r="T26" s="9"/>
      <c r="U26" s="9" t="str">
        <f t="shared" si="2"/>
        <v>***</v>
      </c>
      <c r="V26" s="9" t="str">
        <f>+CONCATENATE(ROUND(T26,3), " ",U26)</f>
        <v>0 ***</v>
      </c>
      <c r="W26" s="9"/>
      <c r="X26" s="9" t="str">
        <f t="shared" si="2"/>
        <v>***</v>
      </c>
      <c r="Y26" s="9" t="str">
        <f>+CONCATENATE(ROUND(W26,3), " ",X26)</f>
        <v>0 ***</v>
      </c>
      <c r="Z26" s="9">
        <v>-1.0219999999999999E-6</v>
      </c>
      <c r="AA26" s="9" t="str">
        <f t="shared" si="2"/>
        <v>***</v>
      </c>
      <c r="AB26" s="9" t="str">
        <f>+CONCATENATE(ROUND(Z26,3), " ",AA26)</f>
        <v>0 ***</v>
      </c>
      <c r="AC26" s="9">
        <v>-9.7399999999999991E-7</v>
      </c>
      <c r="AD26" s="9" t="str">
        <f t="shared" si="2"/>
        <v>***</v>
      </c>
      <c r="AE26" s="9" t="str">
        <f>+CONCATENATE(ROUND(AC26,3), " ",AD26)</f>
        <v>0 ***</v>
      </c>
      <c r="AF26" s="9">
        <v>9.6890000000000003E-8</v>
      </c>
      <c r="AG26" s="9" t="str">
        <f t="shared" si="2"/>
        <v/>
      </c>
      <c r="AH26" s="9" t="str">
        <f>+CONCATENATE(ROUND(AF26,3), " ",AG26)</f>
        <v xml:space="preserve">0 </v>
      </c>
      <c r="AI26" s="9">
        <v>7.8930000000000006E-8</v>
      </c>
      <c r="AJ26" s="9" t="str">
        <f t="shared" si="1"/>
        <v/>
      </c>
      <c r="AK26" s="9" t="str">
        <f>+CONCATENATE(ROUND(AI26,3), " ",AJ26)</f>
        <v xml:space="preserve">0 </v>
      </c>
      <c r="AL26" s="9">
        <v>4.4239999999999998E-8</v>
      </c>
      <c r="AM26" s="9" t="str">
        <f t="shared" si="1"/>
        <v/>
      </c>
      <c r="AN26" s="9" t="str">
        <f>+CONCATENATE(ROUND(AL26,3), " ",AM26)</f>
        <v xml:space="preserve">0 </v>
      </c>
      <c r="AO26" s="9">
        <v>5.1919999999999998E-8</v>
      </c>
      <c r="AP26" s="9" t="str">
        <f t="shared" si="1"/>
        <v/>
      </c>
      <c r="AQ26" s="9" t="str">
        <f>+CONCATENATE(ROUND(AO26,3), " ",AP26)</f>
        <v xml:space="preserve">0 </v>
      </c>
    </row>
    <row r="27" spans="1:43" x14ac:dyDescent="0.25">
      <c r="B27" s="9">
        <v>8.9799999999999997E-8</v>
      </c>
      <c r="C27" s="9" t="str">
        <f t="shared" si="0"/>
        <v/>
      </c>
      <c r="D27" s="9" t="s">
        <v>59</v>
      </c>
      <c r="E27" s="9">
        <v>8.0599999999999994E-8</v>
      </c>
      <c r="F27" s="9" t="str">
        <f t="shared" si="0"/>
        <v/>
      </c>
      <c r="G27" s="9" t="str">
        <f>+CONCATENATE("(",ROUND(E27,3),")")</f>
        <v>(0)</v>
      </c>
      <c r="H27" s="9">
        <v>1.03E-7</v>
      </c>
      <c r="I27" s="9" t="str">
        <f t="shared" si="0"/>
        <v/>
      </c>
      <c r="J27" s="9" t="str">
        <f>+CONCATENATE("(",ROUND(H27,3),")")</f>
        <v>(0)</v>
      </c>
      <c r="K27" s="9">
        <v>9.1800000000000001E-8</v>
      </c>
      <c r="L27" s="9" t="str">
        <f t="shared" si="0"/>
        <v/>
      </c>
      <c r="M27" s="9" t="str">
        <f>+CONCATENATE("(",ROUND(K27,3),")")</f>
        <v>(0)</v>
      </c>
      <c r="N27" s="9"/>
      <c r="O27" s="9" t="str">
        <f t="shared" si="0"/>
        <v/>
      </c>
      <c r="P27" s="9" t="str">
        <f>+CONCATENATE("(",ROUND(N27,3),")")</f>
        <v>(0)</v>
      </c>
      <c r="Q27" s="9"/>
      <c r="R27" s="9" t="str">
        <f t="shared" si="2"/>
        <v/>
      </c>
      <c r="S27" s="9" t="str">
        <f>+CONCATENATE("(",ROUND(Q27,3),")")</f>
        <v>(0)</v>
      </c>
      <c r="T27" s="9"/>
      <c r="U27" s="9" t="str">
        <f t="shared" si="2"/>
        <v/>
      </c>
      <c r="V27" s="9" t="str">
        <f>+CONCATENATE("(",ROUND(T27,3),")")</f>
        <v>(0)</v>
      </c>
      <c r="W27" s="9"/>
      <c r="X27" s="9" t="str">
        <f t="shared" si="2"/>
        <v/>
      </c>
      <c r="Y27" s="9" t="str">
        <f>+CONCATENATE("(",ROUND(W27,3),")")</f>
        <v>(0)</v>
      </c>
      <c r="Z27" s="9">
        <v>2.2100000000000001E-7</v>
      </c>
      <c r="AA27" s="9" t="str">
        <f t="shared" si="2"/>
        <v/>
      </c>
      <c r="AB27" s="9" t="str">
        <f>+CONCATENATE("(",ROUND(Z27,3),")")</f>
        <v>(0)</v>
      </c>
      <c r="AC27" s="9">
        <v>2.1E-7</v>
      </c>
      <c r="AD27" s="9" t="str">
        <f t="shared" si="2"/>
        <v/>
      </c>
      <c r="AE27" s="9" t="str">
        <f>+CONCATENATE("(",ROUND(AC27,3),")")</f>
        <v>(0)</v>
      </c>
      <c r="AF27" s="9">
        <v>7.6599999999999998E-8</v>
      </c>
      <c r="AG27" s="9" t="str">
        <f t="shared" si="2"/>
        <v/>
      </c>
      <c r="AH27" s="9" t="str">
        <f>+CONCATENATE("(",ROUND(AF27,3),")")</f>
        <v>(0)</v>
      </c>
      <c r="AI27" s="9">
        <v>7.1299999999999997E-8</v>
      </c>
      <c r="AJ27" s="9" t="str">
        <f t="shared" si="1"/>
        <v/>
      </c>
      <c r="AK27" s="9" t="str">
        <f>+CONCATENATE("(",ROUND(AI27,3),")")</f>
        <v>(0)</v>
      </c>
      <c r="AL27" s="9">
        <v>8.8899999999999995E-8</v>
      </c>
      <c r="AM27" s="9" t="str">
        <f t="shared" si="1"/>
        <v/>
      </c>
      <c r="AN27" s="9" t="str">
        <f>+CONCATENATE("(",ROUND(AL27,3),")")</f>
        <v>(0)</v>
      </c>
      <c r="AO27" s="9">
        <v>8.2000000000000006E-8</v>
      </c>
      <c r="AP27" s="9" t="str">
        <f t="shared" si="1"/>
        <v/>
      </c>
      <c r="AQ27" s="9" t="str">
        <f>+CONCATENATE("(",ROUND(AO27,3),")")</f>
        <v>(0)</v>
      </c>
    </row>
    <row r="28" spans="1:43" x14ac:dyDescent="0.25">
      <c r="B28" s="9">
        <v>2.9000000000000001E-2</v>
      </c>
      <c r="C28" s="9" t="str">
        <f t="shared" si="0"/>
        <v/>
      </c>
      <c r="D28" s="9"/>
      <c r="E28" s="9">
        <v>7.4999999999999997E-2</v>
      </c>
      <c r="F28" s="9" t="str">
        <f t="shared" si="0"/>
        <v/>
      </c>
      <c r="G28" s="9"/>
      <c r="H28" s="9">
        <v>0.376</v>
      </c>
      <c r="I28" s="9" t="str">
        <f t="shared" si="0"/>
        <v/>
      </c>
      <c r="J28" s="9"/>
      <c r="K28" s="9">
        <v>0.371</v>
      </c>
      <c r="L28" s="9" t="str">
        <f t="shared" si="0"/>
        <v/>
      </c>
      <c r="M28" s="9"/>
      <c r="N28" s="9"/>
      <c r="O28" s="9" t="str">
        <f t="shared" si="0"/>
        <v/>
      </c>
      <c r="P28" s="9"/>
      <c r="Q28" s="9"/>
      <c r="R28" s="9" t="str">
        <f t="shared" si="2"/>
        <v/>
      </c>
      <c r="S28" s="9"/>
      <c r="T28" s="9"/>
      <c r="U28" s="9" t="str">
        <f t="shared" si="2"/>
        <v/>
      </c>
      <c r="V28" s="9"/>
      <c r="W28" s="9"/>
      <c r="X28" s="9" t="str">
        <f t="shared" si="2"/>
        <v/>
      </c>
      <c r="Y28" s="9"/>
      <c r="Z28" s="9">
        <v>0</v>
      </c>
      <c r="AA28" s="9" t="str">
        <f t="shared" si="2"/>
        <v/>
      </c>
      <c r="AB28" s="9"/>
      <c r="AC28" s="9">
        <v>0</v>
      </c>
      <c r="AD28" s="9" t="str">
        <f t="shared" si="2"/>
        <v/>
      </c>
      <c r="AE28" s="9"/>
      <c r="AF28" s="9">
        <v>0.20699999999999999</v>
      </c>
      <c r="AG28" s="9" t="str">
        <f t="shared" si="2"/>
        <v/>
      </c>
      <c r="AH28" s="9"/>
      <c r="AI28" s="9">
        <v>0.26900000000000002</v>
      </c>
      <c r="AJ28" s="9" t="str">
        <f t="shared" si="1"/>
        <v/>
      </c>
      <c r="AK28" s="9"/>
      <c r="AL28" s="9">
        <v>0.61899999999999999</v>
      </c>
      <c r="AM28" s="9" t="str">
        <f t="shared" si="1"/>
        <v/>
      </c>
      <c r="AN28" s="9"/>
      <c r="AO28" s="9">
        <v>0.52700000000000002</v>
      </c>
      <c r="AP28" s="9" t="str">
        <f t="shared" si="1"/>
        <v/>
      </c>
      <c r="AQ28" s="9"/>
    </row>
    <row r="29" spans="1:43" x14ac:dyDescent="0.25">
      <c r="A29" t="s">
        <v>38</v>
      </c>
      <c r="B29" s="9">
        <v>-0.4299</v>
      </c>
      <c r="C29" s="9" t="str">
        <f t="shared" si="0"/>
        <v>***</v>
      </c>
      <c r="D29" s="9" t="s">
        <v>238</v>
      </c>
      <c r="E29" s="9">
        <v>-0.60960000000000003</v>
      </c>
      <c r="F29" s="9" t="str">
        <f t="shared" si="0"/>
        <v>***</v>
      </c>
      <c r="G29" s="9" t="str">
        <f>+CONCATENATE(ROUND(E29,3), " ",F29)</f>
        <v>-0,61 ***</v>
      </c>
      <c r="H29" s="9"/>
      <c r="I29" s="9" t="str">
        <f t="shared" si="0"/>
        <v>***</v>
      </c>
      <c r="J29" s="9" t="str">
        <f>+CONCATENATE(ROUND(H29,3), " ",I29)</f>
        <v>0 ***</v>
      </c>
      <c r="K29" s="9"/>
      <c r="L29" s="9" t="str">
        <f t="shared" si="0"/>
        <v>***</v>
      </c>
      <c r="M29" s="9" t="str">
        <f>+CONCATENATE(ROUND(K29,3), " ",L29)</f>
        <v>0 ***</v>
      </c>
      <c r="N29" s="9"/>
      <c r="O29" s="9" t="str">
        <f t="shared" si="0"/>
        <v>***</v>
      </c>
      <c r="P29" s="9" t="str">
        <f>+CONCATENATE(ROUND(N29,3), " ",O29)</f>
        <v>0 ***</v>
      </c>
      <c r="Q29" s="9"/>
      <c r="R29" s="9" t="str">
        <f t="shared" si="2"/>
        <v>***</v>
      </c>
      <c r="S29" s="9" t="str">
        <f>+CONCATENATE(ROUND(Q29,3), " ",R29)</f>
        <v>0 ***</v>
      </c>
      <c r="T29" s="9">
        <v>-0.82789999999999997</v>
      </c>
      <c r="U29" s="9" t="str">
        <f t="shared" si="2"/>
        <v>***</v>
      </c>
      <c r="V29" s="9" t="str">
        <f>+CONCATENATE(ROUND(T29,3), " ",U29)</f>
        <v>-0,828 ***</v>
      </c>
      <c r="W29" s="9">
        <v>-0.47220000000000001</v>
      </c>
      <c r="X29" s="9" t="str">
        <f t="shared" si="2"/>
        <v/>
      </c>
      <c r="Y29" s="9" t="str">
        <f>+CONCATENATE(ROUND(W29,3), " ",X29)</f>
        <v xml:space="preserve">-0,472 </v>
      </c>
      <c r="Z29" s="9">
        <v>0.52849999999999997</v>
      </c>
      <c r="AA29" s="9" t="str">
        <f t="shared" si="2"/>
        <v>***</v>
      </c>
      <c r="AB29" s="9" t="str">
        <f>+CONCATENATE(ROUND(Z29,3), " ",AA29)</f>
        <v>0,529 ***</v>
      </c>
      <c r="AC29" s="9">
        <v>0.628</v>
      </c>
      <c r="AD29" s="9" t="str">
        <f t="shared" si="2"/>
        <v>***</v>
      </c>
      <c r="AE29" s="9" t="str">
        <f>+CONCATENATE(ROUND(AC29,3), " ",AD29)</f>
        <v>0,628 ***</v>
      </c>
      <c r="AF29" s="9">
        <v>-0.40510000000000002</v>
      </c>
      <c r="AG29" s="9" t="str">
        <f t="shared" si="2"/>
        <v>***</v>
      </c>
      <c r="AH29" s="9" t="str">
        <f>+CONCATENATE(ROUND(AF29,3), " ",AG29)</f>
        <v>-0,405 ***</v>
      </c>
      <c r="AI29" s="9">
        <v>-0.55449999999999999</v>
      </c>
      <c r="AJ29" s="9" t="str">
        <f t="shared" si="1"/>
        <v>***</v>
      </c>
      <c r="AK29" s="9" t="str">
        <f>+CONCATENATE(ROUND(AI29,3), " ",AJ29)</f>
        <v>-0,555 ***</v>
      </c>
      <c r="AL29" s="9"/>
      <c r="AM29" s="9" t="str">
        <f t="shared" si="1"/>
        <v>***</v>
      </c>
      <c r="AN29" s="9" t="str">
        <f>+CONCATENATE(ROUND(AL29,3), " ",AM29)</f>
        <v>0 ***</v>
      </c>
      <c r="AO29" s="9"/>
      <c r="AP29" s="9" t="str">
        <f t="shared" si="1"/>
        <v>***</v>
      </c>
      <c r="AQ29" s="9" t="str">
        <f>+CONCATENATE(ROUND(AO29,3), " ",AP29)</f>
        <v>0 ***</v>
      </c>
    </row>
    <row r="30" spans="1:43" x14ac:dyDescent="0.25">
      <c r="B30" s="9">
        <v>0.11899999999999999</v>
      </c>
      <c r="C30" s="9" t="str">
        <f t="shared" si="0"/>
        <v/>
      </c>
      <c r="D30" s="9" t="s">
        <v>239</v>
      </c>
      <c r="E30" s="9">
        <v>0.123</v>
      </c>
      <c r="F30" s="9" t="str">
        <f t="shared" si="0"/>
        <v/>
      </c>
      <c r="G30" s="9" t="str">
        <f>+CONCATENATE("(",ROUND(E30,3),")")</f>
        <v>(0,123)</v>
      </c>
      <c r="H30" s="9"/>
      <c r="I30" s="9" t="str">
        <f t="shared" si="0"/>
        <v/>
      </c>
      <c r="J30" s="9" t="str">
        <f>+CONCATENATE("(",ROUND(H30,3),")")</f>
        <v>(0)</v>
      </c>
      <c r="K30" s="9"/>
      <c r="L30" s="9" t="str">
        <f t="shared" si="0"/>
        <v/>
      </c>
      <c r="M30" s="9" t="str">
        <f>+CONCATENATE("(",ROUND(K30,3),")")</f>
        <v>(0)</v>
      </c>
      <c r="N30" s="9"/>
      <c r="O30" s="9" t="str">
        <f t="shared" si="0"/>
        <v/>
      </c>
      <c r="P30" s="9" t="str">
        <f>+CONCATENATE("(",ROUND(N30,3),")")</f>
        <v>(0)</v>
      </c>
      <c r="Q30" s="9"/>
      <c r="R30" s="9" t="str">
        <f t="shared" si="2"/>
        <v/>
      </c>
      <c r="S30" s="9" t="str">
        <f>+CONCATENATE("(",ROUND(Q30,3),")")</f>
        <v>(0)</v>
      </c>
      <c r="T30" s="9">
        <v>0.29499999999999998</v>
      </c>
      <c r="U30" s="9" t="str">
        <f t="shared" si="2"/>
        <v/>
      </c>
      <c r="V30" s="9" t="str">
        <f>+CONCATENATE("(",ROUND(T30,3),")")</f>
        <v>(0,295)</v>
      </c>
      <c r="W30" s="9">
        <v>0.312</v>
      </c>
      <c r="X30" s="9" t="str">
        <f t="shared" si="2"/>
        <v/>
      </c>
      <c r="Y30" s="9" t="str">
        <f>+CONCATENATE("(",ROUND(W30,3),")")</f>
        <v>(0,312)</v>
      </c>
      <c r="Z30" s="9">
        <v>3.5999999999999997E-2</v>
      </c>
      <c r="AA30" s="9" t="str">
        <f t="shared" si="2"/>
        <v/>
      </c>
      <c r="AB30" s="9" t="str">
        <f>+CONCATENATE("(",ROUND(Z30,3),")")</f>
        <v>(0,036)</v>
      </c>
      <c r="AC30" s="9">
        <v>4.5999999999999999E-2</v>
      </c>
      <c r="AD30" s="9" t="str">
        <f t="shared" si="2"/>
        <v/>
      </c>
      <c r="AE30" s="9" t="str">
        <f>+CONCATENATE("(",ROUND(AC30,3),")")</f>
        <v>(0,046)</v>
      </c>
      <c r="AF30" s="9">
        <v>0.11799999999999999</v>
      </c>
      <c r="AG30" s="9" t="str">
        <f t="shared" si="2"/>
        <v/>
      </c>
      <c r="AH30" s="9" t="str">
        <f>+CONCATENATE("(",ROUND(AF30,3),")")</f>
        <v>(0,118)</v>
      </c>
      <c r="AI30" s="9">
        <v>0.122</v>
      </c>
      <c r="AJ30" s="9" t="str">
        <f t="shared" si="1"/>
        <v/>
      </c>
      <c r="AK30" s="9" t="str">
        <f>+CONCATENATE("(",ROUND(AI30,3),")")</f>
        <v>(0,122)</v>
      </c>
      <c r="AL30" s="9"/>
      <c r="AM30" s="9" t="str">
        <f t="shared" si="1"/>
        <v/>
      </c>
      <c r="AN30" s="9" t="str">
        <f>+CONCATENATE("(",ROUND(AL30,3),")")</f>
        <v>(0)</v>
      </c>
      <c r="AO30" s="9"/>
      <c r="AP30" s="9" t="str">
        <f t="shared" si="1"/>
        <v/>
      </c>
      <c r="AQ30" s="9" t="str">
        <f>+CONCATENATE("(",ROUND(AO30,3),")")</f>
        <v>(0)</v>
      </c>
    </row>
    <row r="31" spans="1:43" x14ac:dyDescent="0.25">
      <c r="B31" s="9">
        <v>0</v>
      </c>
      <c r="C31" s="9" t="str">
        <f t="shared" si="0"/>
        <v/>
      </c>
      <c r="D31" s="9"/>
      <c r="E31" s="9">
        <v>0</v>
      </c>
      <c r="F31" s="9" t="str">
        <f t="shared" si="0"/>
        <v/>
      </c>
      <c r="G31" s="9"/>
      <c r="H31" s="9"/>
      <c r="I31" s="9" t="str">
        <f t="shared" si="0"/>
        <v/>
      </c>
      <c r="J31" s="9"/>
      <c r="K31" s="9"/>
      <c r="L31" s="9" t="str">
        <f t="shared" si="0"/>
        <v/>
      </c>
      <c r="M31" s="9"/>
      <c r="N31" s="9"/>
      <c r="O31" s="9" t="str">
        <f t="shared" si="0"/>
        <v/>
      </c>
      <c r="P31" s="9"/>
      <c r="Q31" s="9"/>
      <c r="R31" s="9" t="str">
        <f t="shared" si="2"/>
        <v/>
      </c>
      <c r="S31" s="9"/>
      <c r="T31" s="9">
        <v>5.0000000000000001E-3</v>
      </c>
      <c r="U31" s="9" t="str">
        <f t="shared" si="2"/>
        <v/>
      </c>
      <c r="V31" s="9"/>
      <c r="W31" s="9">
        <v>0.13100000000000001</v>
      </c>
      <c r="X31" s="9" t="str">
        <f t="shared" si="2"/>
        <v/>
      </c>
      <c r="Y31" s="9"/>
      <c r="Z31" s="9">
        <v>0</v>
      </c>
      <c r="AA31" s="9" t="str">
        <f t="shared" si="2"/>
        <v/>
      </c>
      <c r="AB31" s="9"/>
      <c r="AC31" s="9">
        <v>0</v>
      </c>
      <c r="AD31" s="9" t="str">
        <f t="shared" si="2"/>
        <v/>
      </c>
      <c r="AE31" s="9"/>
      <c r="AF31" s="9">
        <v>1E-3</v>
      </c>
      <c r="AG31" s="9" t="str">
        <f t="shared" si="2"/>
        <v/>
      </c>
      <c r="AH31" s="9"/>
      <c r="AI31" s="9">
        <v>0</v>
      </c>
      <c r="AJ31" s="9" t="str">
        <f t="shared" si="1"/>
        <v/>
      </c>
      <c r="AK31" s="9"/>
      <c r="AL31" s="9"/>
      <c r="AM31" s="9" t="str">
        <f t="shared" si="1"/>
        <v/>
      </c>
      <c r="AN31" s="9"/>
      <c r="AO31" s="9"/>
      <c r="AP31" s="9" t="str">
        <f t="shared" si="1"/>
        <v/>
      </c>
      <c r="AQ31" s="9"/>
    </row>
    <row r="32" spans="1:43" x14ac:dyDescent="0.25">
      <c r="A32" t="s">
        <v>39</v>
      </c>
      <c r="B32" s="9">
        <v>2.0000000000000001E-4</v>
      </c>
      <c r="C32" s="9" t="str">
        <f t="shared" si="0"/>
        <v>*</v>
      </c>
      <c r="D32" s="9" t="s">
        <v>58</v>
      </c>
      <c r="E32" s="9">
        <v>2.9999999999999997E-4</v>
      </c>
      <c r="F32" s="9" t="str">
        <f t="shared" si="0"/>
        <v>***</v>
      </c>
      <c r="G32" s="9" t="str">
        <f>+CONCATENATE(ROUND(E32,3), " ",F32)</f>
        <v>0 ***</v>
      </c>
      <c r="H32" s="9"/>
      <c r="I32" s="9" t="str">
        <f t="shared" si="0"/>
        <v>***</v>
      </c>
      <c r="J32" s="9" t="str">
        <f>+CONCATENATE(ROUND(H32,3), " ",I32)</f>
        <v>0 ***</v>
      </c>
      <c r="K32" s="9"/>
      <c r="L32" s="9" t="str">
        <f t="shared" si="0"/>
        <v>***</v>
      </c>
      <c r="M32" s="9" t="str">
        <f>+CONCATENATE(ROUND(K32,3), " ",L32)</f>
        <v>0 ***</v>
      </c>
      <c r="N32" s="9">
        <v>2.9999999999999997E-4</v>
      </c>
      <c r="O32" s="9" t="str">
        <f t="shared" si="0"/>
        <v>***</v>
      </c>
      <c r="P32" s="9" t="str">
        <f>+CONCATENATE(ROUND(N32,3), " ",O32)</f>
        <v>0 ***</v>
      </c>
      <c r="Q32" s="9">
        <v>2.9999999999999997E-4</v>
      </c>
      <c r="R32" s="9" t="str">
        <f t="shared" si="2"/>
        <v>***</v>
      </c>
      <c r="S32" s="9" t="str">
        <f>+CONCATENATE(ROUND(Q32,3), " ",R32)</f>
        <v>0 ***</v>
      </c>
      <c r="T32" s="9">
        <v>6.9999999999999999E-4</v>
      </c>
      <c r="U32" s="9" t="str">
        <f t="shared" si="2"/>
        <v>**</v>
      </c>
      <c r="V32" s="9" t="str">
        <f>+CONCATENATE(ROUND(T32,3), " ",U32)</f>
        <v>0,001 **</v>
      </c>
      <c r="W32" s="9">
        <v>5.9999999999999995E-4</v>
      </c>
      <c r="X32" s="9" t="str">
        <f t="shared" si="2"/>
        <v>**</v>
      </c>
      <c r="Y32" s="9" t="str">
        <f>+CONCATENATE(ROUND(W32,3), " ",X32)</f>
        <v>0,001 **</v>
      </c>
      <c r="Z32" s="9">
        <v>5.0000000000000001E-4</v>
      </c>
      <c r="AA32" s="9" t="str">
        <f t="shared" si="2"/>
        <v>*</v>
      </c>
      <c r="AB32" s="9" t="str">
        <f>+CONCATENATE(ROUND(Z32,3), " ",AA32)</f>
        <v>0,001 *</v>
      </c>
      <c r="AC32" s="9">
        <v>5.0000000000000001E-4</v>
      </c>
      <c r="AD32" s="9" t="str">
        <f t="shared" si="2"/>
        <v>*</v>
      </c>
      <c r="AE32" s="9" t="str">
        <f>+CONCATENATE(ROUND(AC32,3), " ",AD32)</f>
        <v>0,001 *</v>
      </c>
      <c r="AF32" s="9"/>
      <c r="AG32" s="9" t="str">
        <f t="shared" si="2"/>
        <v>***</v>
      </c>
      <c r="AH32" s="9" t="str">
        <f>+CONCATENATE(ROUND(AF32,3), " ",AG32)</f>
        <v>0 ***</v>
      </c>
      <c r="AI32" s="9"/>
      <c r="AJ32" s="9" t="str">
        <f t="shared" si="1"/>
        <v>***</v>
      </c>
      <c r="AK32" s="9" t="str">
        <f>+CONCATENATE(ROUND(AI32,3), " ",AJ32)</f>
        <v>0 ***</v>
      </c>
      <c r="AL32" s="9">
        <v>2.9999999999999997E-4</v>
      </c>
      <c r="AM32" s="9" t="str">
        <f t="shared" si="1"/>
        <v>***</v>
      </c>
      <c r="AN32" s="9" t="str">
        <f>+CONCATENATE(ROUND(AL32,3), " ",AM32)</f>
        <v>0 ***</v>
      </c>
      <c r="AO32" s="9">
        <v>4.0000000000000002E-4</v>
      </c>
      <c r="AP32" s="9" t="str">
        <f t="shared" si="1"/>
        <v>***</v>
      </c>
      <c r="AQ32" s="9" t="str">
        <f>+CONCATENATE(ROUND(AO32,3), " ",AP32)</f>
        <v>0 ***</v>
      </c>
    </row>
    <row r="33" spans="1:43" x14ac:dyDescent="0.25">
      <c r="B33" s="9">
        <v>0</v>
      </c>
      <c r="C33" s="9" t="str">
        <f t="shared" si="0"/>
        <v/>
      </c>
      <c r="D33" s="9" t="s">
        <v>59</v>
      </c>
      <c r="E33" s="9">
        <v>9.4300000000000002E-5</v>
      </c>
      <c r="F33" s="9" t="str">
        <f t="shared" si="0"/>
        <v/>
      </c>
      <c r="G33" s="9" t="str">
        <f>+CONCATENATE("(",ROUND(E33,3),")")</f>
        <v>(0)</v>
      </c>
      <c r="H33" s="9"/>
      <c r="I33" s="9" t="str">
        <f t="shared" si="0"/>
        <v/>
      </c>
      <c r="J33" s="9" t="str">
        <f>+CONCATENATE("(",ROUND(H33,3),")")</f>
        <v>(0)</v>
      </c>
      <c r="K33" s="9"/>
      <c r="L33" s="9" t="str">
        <f t="shared" si="0"/>
        <v/>
      </c>
      <c r="M33" s="9" t="str">
        <f>+CONCATENATE("(",ROUND(K33,3),")")</f>
        <v>(0)</v>
      </c>
      <c r="N33" s="9">
        <v>0</v>
      </c>
      <c r="O33" s="9" t="str">
        <f t="shared" si="0"/>
        <v/>
      </c>
      <c r="P33" s="9" t="str">
        <f>+CONCATENATE("(",ROUND(N33,3),")")</f>
        <v>(0)</v>
      </c>
      <c r="Q33" s="9">
        <v>0</v>
      </c>
      <c r="R33" s="9" t="str">
        <f t="shared" si="2"/>
        <v/>
      </c>
      <c r="S33" s="9" t="str">
        <f>+CONCATENATE("(",ROUND(Q33,3),")")</f>
        <v>(0)</v>
      </c>
      <c r="T33" s="9">
        <v>0</v>
      </c>
      <c r="U33" s="9" t="str">
        <f t="shared" si="2"/>
        <v/>
      </c>
      <c r="V33" s="9" t="str">
        <f>+CONCATENATE("(",ROUND(T33,3),")")</f>
        <v>(0)</v>
      </c>
      <c r="W33" s="9">
        <v>0</v>
      </c>
      <c r="X33" s="9" t="str">
        <f t="shared" si="2"/>
        <v/>
      </c>
      <c r="Y33" s="9" t="str">
        <f>+CONCATENATE("(",ROUND(W33,3),")")</f>
        <v>(0)</v>
      </c>
      <c r="Z33" s="9">
        <v>0</v>
      </c>
      <c r="AA33" s="9" t="str">
        <f t="shared" si="2"/>
        <v/>
      </c>
      <c r="AB33" s="9" t="str">
        <f>+CONCATENATE("(",ROUND(Z33,3),")")</f>
        <v>(0)</v>
      </c>
      <c r="AC33" s="9">
        <v>0</v>
      </c>
      <c r="AD33" s="9" t="str">
        <f t="shared" si="2"/>
        <v/>
      </c>
      <c r="AE33" s="9" t="str">
        <f>+CONCATENATE("(",ROUND(AC33,3),")")</f>
        <v>(0)</v>
      </c>
      <c r="AF33" s="9"/>
      <c r="AG33" s="9" t="str">
        <f t="shared" si="2"/>
        <v/>
      </c>
      <c r="AH33" s="9" t="str">
        <f>+CONCATENATE("(",ROUND(AF33,3),")")</f>
        <v>(0)</v>
      </c>
      <c r="AI33" s="9"/>
      <c r="AJ33" s="9" t="str">
        <f t="shared" si="1"/>
        <v/>
      </c>
      <c r="AK33" s="9" t="str">
        <f>+CONCATENATE("(",ROUND(AI33,3),")")</f>
        <v>(0)</v>
      </c>
      <c r="AL33" s="9">
        <v>0</v>
      </c>
      <c r="AM33" s="9" t="str">
        <f t="shared" si="1"/>
        <v/>
      </c>
      <c r="AN33" s="9" t="str">
        <f>+CONCATENATE("(",ROUND(AL33,3),")")</f>
        <v>(0)</v>
      </c>
      <c r="AO33" s="9">
        <v>0</v>
      </c>
      <c r="AP33" s="9" t="str">
        <f t="shared" si="1"/>
        <v/>
      </c>
      <c r="AQ33" s="9" t="str">
        <f>+CONCATENATE("(",ROUND(AO33,3),")")</f>
        <v>(0)</v>
      </c>
    </row>
    <row r="34" spans="1:43" x14ac:dyDescent="0.25">
      <c r="B34" s="9">
        <v>5.3999999999999999E-2</v>
      </c>
      <c r="C34" s="9" t="str">
        <f t="shared" si="0"/>
        <v/>
      </c>
      <c r="D34" s="9"/>
      <c r="E34" s="9">
        <v>2E-3</v>
      </c>
      <c r="F34" s="9" t="str">
        <f t="shared" si="0"/>
        <v/>
      </c>
      <c r="G34" s="9"/>
      <c r="H34" s="9"/>
      <c r="I34" s="9" t="str">
        <f t="shared" si="0"/>
        <v/>
      </c>
      <c r="J34" s="9"/>
      <c r="K34" s="9"/>
      <c r="L34" s="9" t="str">
        <f t="shared" si="0"/>
        <v/>
      </c>
      <c r="M34" s="9"/>
      <c r="N34" s="9">
        <v>7.0000000000000001E-3</v>
      </c>
      <c r="O34" s="9" t="str">
        <f t="shared" si="0"/>
        <v/>
      </c>
      <c r="P34" s="9"/>
      <c r="Q34" s="9">
        <v>1E-3</v>
      </c>
      <c r="R34" s="9" t="str">
        <f t="shared" si="2"/>
        <v/>
      </c>
      <c r="S34" s="9"/>
      <c r="T34" s="9">
        <v>1.6E-2</v>
      </c>
      <c r="U34" s="9" t="str">
        <f t="shared" si="2"/>
        <v/>
      </c>
      <c r="V34" s="9"/>
      <c r="W34" s="9">
        <v>1.7999999999999999E-2</v>
      </c>
      <c r="X34" s="9" t="str">
        <f t="shared" si="2"/>
        <v/>
      </c>
      <c r="Y34" s="9"/>
      <c r="Z34" s="9">
        <v>0.08</v>
      </c>
      <c r="AA34" s="9" t="str">
        <f t="shared" si="2"/>
        <v/>
      </c>
      <c r="AB34" s="9"/>
      <c r="AC34" s="9">
        <v>5.6000000000000001E-2</v>
      </c>
      <c r="AD34" s="9" t="str">
        <f t="shared" si="2"/>
        <v/>
      </c>
      <c r="AE34" s="9"/>
      <c r="AF34" s="9"/>
      <c r="AG34" s="9" t="str">
        <f t="shared" si="2"/>
        <v/>
      </c>
      <c r="AH34" s="9"/>
      <c r="AI34" s="9"/>
      <c r="AJ34" s="9" t="str">
        <f t="shared" si="1"/>
        <v/>
      </c>
      <c r="AK34" s="9"/>
      <c r="AL34" s="9">
        <v>6.0000000000000001E-3</v>
      </c>
      <c r="AM34" s="9" t="str">
        <f t="shared" si="1"/>
        <v/>
      </c>
      <c r="AN34" s="9"/>
      <c r="AO34" s="9">
        <v>1E-3</v>
      </c>
      <c r="AP34" s="9" t="str">
        <f t="shared" si="1"/>
        <v/>
      </c>
      <c r="AQ34" s="9"/>
    </row>
    <row r="35" spans="1:43" x14ac:dyDescent="0.25">
      <c r="A35" t="s">
        <v>40</v>
      </c>
      <c r="B35" s="9">
        <v>2.3999999999999998E-3</v>
      </c>
      <c r="C35" s="9" t="str">
        <f t="shared" si="0"/>
        <v/>
      </c>
      <c r="D35" s="9" t="s">
        <v>63</v>
      </c>
      <c r="E35" s="9">
        <v>8.0000000000000004E-4</v>
      </c>
      <c r="F35" s="9" t="str">
        <f t="shared" si="0"/>
        <v/>
      </c>
      <c r="G35" s="9" t="str">
        <f>+CONCATENATE(ROUND(E35,3), " ",F35)</f>
        <v xml:space="preserve">0,001 </v>
      </c>
      <c r="H35" s="9">
        <v>1.1999999999999999E-3</v>
      </c>
      <c r="I35" s="9" t="str">
        <f t="shared" si="0"/>
        <v/>
      </c>
      <c r="J35" s="9" t="str">
        <f>+CONCATENATE(ROUND(H35,3), " ",I35)</f>
        <v xml:space="preserve">0,001 </v>
      </c>
      <c r="K35" s="9">
        <v>5.9999999999999995E-4</v>
      </c>
      <c r="L35" s="9" t="str">
        <f t="shared" si="0"/>
        <v/>
      </c>
      <c r="M35" s="9" t="str">
        <f>+CONCATENATE(ROUND(K35,3), " ",L35)</f>
        <v xml:space="preserve">0,001 </v>
      </c>
      <c r="N35" s="9">
        <v>1E-4</v>
      </c>
      <c r="O35" s="9" t="str">
        <f t="shared" si="0"/>
        <v/>
      </c>
      <c r="P35" s="9" t="str">
        <f>+CONCATENATE(ROUND(N35,3), " ",O35)</f>
        <v xml:space="preserve">0 </v>
      </c>
      <c r="Q35" s="9">
        <v>9.8339999999999997E-5</v>
      </c>
      <c r="R35" s="9" t="str">
        <f t="shared" si="2"/>
        <v/>
      </c>
      <c r="S35" s="9" t="str">
        <f>+CONCATENATE(ROUND(Q35,3), " ",R35)</f>
        <v xml:space="preserve">0 </v>
      </c>
      <c r="T35" s="9">
        <v>3.0999999999999999E-3</v>
      </c>
      <c r="U35" s="9" t="str">
        <f t="shared" si="2"/>
        <v/>
      </c>
      <c r="V35" s="9" t="str">
        <f>+CONCATENATE(ROUND(T35,3), " ",U35)</f>
        <v xml:space="preserve">0,003 </v>
      </c>
      <c r="W35" s="9">
        <v>4.5999999999999999E-3</v>
      </c>
      <c r="X35" s="9" t="str">
        <f t="shared" si="2"/>
        <v/>
      </c>
      <c r="Y35" s="9" t="str">
        <f>+CONCATENATE(ROUND(W35,3), " ",X35)</f>
        <v xml:space="preserve">0,005 </v>
      </c>
      <c r="Z35" s="9">
        <v>1.1900000000000001E-2</v>
      </c>
      <c r="AA35" s="9" t="str">
        <f t="shared" si="2"/>
        <v>**</v>
      </c>
      <c r="AB35" s="9" t="str">
        <f>+CONCATENATE(ROUND(Z35,3), " ",AA35)</f>
        <v>0,012 **</v>
      </c>
      <c r="AC35" s="9">
        <v>9.1000000000000004E-3</v>
      </c>
      <c r="AD35" s="9" t="str">
        <f t="shared" si="2"/>
        <v>**</v>
      </c>
      <c r="AE35" s="9" t="str">
        <f>+CONCATENATE(ROUND(AC35,3), " ",AD35)</f>
        <v>0,009 **</v>
      </c>
      <c r="AF35" s="9"/>
      <c r="AG35" s="9" t="str">
        <f t="shared" si="2"/>
        <v>***</v>
      </c>
      <c r="AH35" s="9" t="str">
        <f>+CONCATENATE(ROUND(AF35,3), " ",AG35)</f>
        <v>0 ***</v>
      </c>
      <c r="AI35" s="9"/>
      <c r="AJ35" s="9" t="str">
        <f t="shared" si="1"/>
        <v>***</v>
      </c>
      <c r="AK35" s="9" t="str">
        <f>+CONCATENATE(ROUND(AI35,3), " ",AJ35)</f>
        <v>0 ***</v>
      </c>
      <c r="AL35" s="9">
        <v>8.9999999999999998E-4</v>
      </c>
      <c r="AM35" s="9" t="str">
        <f t="shared" si="1"/>
        <v/>
      </c>
      <c r="AN35" s="9" t="str">
        <f>+CONCATENATE(ROUND(AL35,3), " ",AM35)</f>
        <v xml:space="preserve">0,001 </v>
      </c>
      <c r="AO35" s="9">
        <v>5.0000000000000001E-4</v>
      </c>
      <c r="AP35" s="9" t="str">
        <f t="shared" si="1"/>
        <v/>
      </c>
      <c r="AQ35" s="9" t="str">
        <f>+CONCATENATE(ROUND(AO35,3), " ",AP35)</f>
        <v xml:space="preserve">0,001 </v>
      </c>
    </row>
    <row r="36" spans="1:43" x14ac:dyDescent="0.25">
      <c r="B36" s="9">
        <v>2E-3</v>
      </c>
      <c r="C36" s="9" t="str">
        <f t="shared" si="0"/>
        <v/>
      </c>
      <c r="D36" s="9" t="s">
        <v>53</v>
      </c>
      <c r="E36" s="9">
        <v>2E-3</v>
      </c>
      <c r="F36" s="9" t="str">
        <f t="shared" si="0"/>
        <v/>
      </c>
      <c r="G36" s="9" t="str">
        <f>+CONCATENATE("(",ROUND(E36,3),")")</f>
        <v>(0,002)</v>
      </c>
      <c r="H36" s="9">
        <v>2E-3</v>
      </c>
      <c r="I36" s="9" t="str">
        <f t="shared" si="0"/>
        <v/>
      </c>
      <c r="J36" s="9" t="str">
        <f>+CONCATENATE("(",ROUND(H36,3),")")</f>
        <v>(0,002)</v>
      </c>
      <c r="K36" s="9">
        <v>2E-3</v>
      </c>
      <c r="L36" s="9" t="str">
        <f t="shared" si="0"/>
        <v/>
      </c>
      <c r="M36" s="9" t="str">
        <f>+CONCATENATE("(",ROUND(K36,3),")")</f>
        <v>(0,002)</v>
      </c>
      <c r="N36" s="9">
        <v>2E-3</v>
      </c>
      <c r="O36" s="9" t="str">
        <f t="shared" si="0"/>
        <v/>
      </c>
      <c r="P36" s="9" t="str">
        <f>+CONCATENATE("(",ROUND(N36,3),")")</f>
        <v>(0,002)</v>
      </c>
      <c r="Q36" s="9">
        <v>2E-3</v>
      </c>
      <c r="R36" s="9" t="str">
        <f t="shared" si="2"/>
        <v/>
      </c>
      <c r="S36" s="9" t="str">
        <f>+CONCATENATE("(",ROUND(Q36,3),")")</f>
        <v>(0,002)</v>
      </c>
      <c r="T36" s="9">
        <v>5.0000000000000001E-3</v>
      </c>
      <c r="U36" s="9" t="str">
        <f t="shared" si="2"/>
        <v/>
      </c>
      <c r="V36" s="9" t="str">
        <f>+CONCATENATE("(",ROUND(T36,3),")")</f>
        <v>(0,005)</v>
      </c>
      <c r="W36" s="9">
        <v>4.0000000000000001E-3</v>
      </c>
      <c r="X36" s="9" t="str">
        <f t="shared" si="2"/>
        <v/>
      </c>
      <c r="Y36" s="9" t="str">
        <f>+CONCATENATE("(",ROUND(W36,3),")")</f>
        <v>(0,004)</v>
      </c>
      <c r="Z36" s="9">
        <v>5.0000000000000001E-3</v>
      </c>
      <c r="AA36" s="9" t="str">
        <f t="shared" si="2"/>
        <v/>
      </c>
      <c r="AB36" s="9" t="str">
        <f>+CONCATENATE("(",ROUND(Z36,3),")")</f>
        <v>(0,005)</v>
      </c>
      <c r="AC36" s="9">
        <v>5.0000000000000001E-3</v>
      </c>
      <c r="AD36" s="9" t="str">
        <f t="shared" si="2"/>
        <v/>
      </c>
      <c r="AE36" s="9" t="str">
        <f>+CONCATENATE("(",ROUND(AC36,3),")")</f>
        <v>(0,005)</v>
      </c>
      <c r="AF36" s="9"/>
      <c r="AG36" s="9" t="str">
        <f t="shared" si="2"/>
        <v/>
      </c>
      <c r="AH36" s="9" t="str">
        <f>+CONCATENATE("(",ROUND(AF36,3),")")</f>
        <v>(0)</v>
      </c>
      <c r="AI36" s="9"/>
      <c r="AJ36" s="9" t="str">
        <f t="shared" si="1"/>
        <v/>
      </c>
      <c r="AK36" s="9" t="str">
        <f>+CONCATENATE("(",ROUND(AI36,3),")")</f>
        <v>(0)</v>
      </c>
      <c r="AL36" s="9">
        <v>2E-3</v>
      </c>
      <c r="AM36" s="9" t="str">
        <f t="shared" si="1"/>
        <v/>
      </c>
      <c r="AN36" s="9" t="str">
        <f>+CONCATENATE("(",ROUND(AL36,3),")")</f>
        <v>(0,002)</v>
      </c>
      <c r="AO36" s="9">
        <v>2E-3</v>
      </c>
      <c r="AP36" s="9" t="str">
        <f t="shared" si="1"/>
        <v/>
      </c>
      <c r="AQ36" s="9" t="str">
        <f>+CONCATENATE("(",ROUND(AO36,3),")")</f>
        <v>(0,002)</v>
      </c>
    </row>
    <row r="37" spans="1:43" x14ac:dyDescent="0.25">
      <c r="B37" s="9">
        <v>0.217</v>
      </c>
      <c r="C37" s="9" t="str">
        <f t="shared" si="0"/>
        <v/>
      </c>
      <c r="D37" s="9"/>
      <c r="E37" s="9">
        <v>0.66200000000000003</v>
      </c>
      <c r="F37" s="9" t="str">
        <f t="shared" si="0"/>
        <v/>
      </c>
      <c r="G37" s="9"/>
      <c r="H37" s="9">
        <v>0.60199999999999998</v>
      </c>
      <c r="I37" s="9" t="str">
        <f t="shared" si="0"/>
        <v/>
      </c>
      <c r="J37" s="9"/>
      <c r="K37" s="9">
        <v>0.78</v>
      </c>
      <c r="L37" s="9" t="str">
        <f t="shared" si="0"/>
        <v/>
      </c>
      <c r="M37" s="9"/>
      <c r="N37" s="9">
        <v>0.96399999999999997</v>
      </c>
      <c r="O37" s="9" t="str">
        <f t="shared" si="0"/>
        <v/>
      </c>
      <c r="P37" s="9"/>
      <c r="Q37" s="9">
        <v>0.96</v>
      </c>
      <c r="R37" s="9" t="str">
        <f t="shared" si="2"/>
        <v/>
      </c>
      <c r="S37" s="9"/>
      <c r="T37" s="9">
        <v>0.52100000000000002</v>
      </c>
      <c r="U37" s="9" t="str">
        <f t="shared" si="2"/>
        <v/>
      </c>
      <c r="V37" s="9"/>
      <c r="W37" s="9">
        <v>0.29699999999999999</v>
      </c>
      <c r="X37" s="9" t="str">
        <f t="shared" si="2"/>
        <v/>
      </c>
      <c r="Y37" s="9"/>
      <c r="Z37" s="9">
        <v>1.6E-2</v>
      </c>
      <c r="AA37" s="9" t="str">
        <f t="shared" si="2"/>
        <v/>
      </c>
      <c r="AB37" s="9"/>
      <c r="AC37" s="9">
        <v>4.8000000000000001E-2</v>
      </c>
      <c r="AD37" s="9" t="str">
        <f t="shared" si="2"/>
        <v/>
      </c>
      <c r="AE37" s="9"/>
      <c r="AF37" s="9"/>
      <c r="AG37" s="9" t="str">
        <f t="shared" si="2"/>
        <v/>
      </c>
      <c r="AH37" s="9"/>
      <c r="AI37" s="9"/>
      <c r="AJ37" s="9" t="str">
        <f t="shared" si="1"/>
        <v/>
      </c>
      <c r="AK37" s="9"/>
      <c r="AL37" s="9">
        <v>0.69899999999999995</v>
      </c>
      <c r="AM37" s="9" t="str">
        <f t="shared" si="1"/>
        <v/>
      </c>
      <c r="AN37" s="9"/>
      <c r="AO37" s="9">
        <v>0.78700000000000003</v>
      </c>
      <c r="AP37" s="9" t="str">
        <f t="shared" si="1"/>
        <v/>
      </c>
      <c r="AQ37" s="9"/>
    </row>
    <row r="38" spans="1:43" x14ac:dyDescent="0.25">
      <c r="A38" t="s">
        <v>41</v>
      </c>
      <c r="B38" s="9">
        <v>-4.4999999999999997E-3</v>
      </c>
      <c r="C38" s="9" t="str">
        <f t="shared" si="0"/>
        <v/>
      </c>
      <c r="D38" s="9" t="s">
        <v>240</v>
      </c>
      <c r="E38" s="9">
        <v>-1.6000000000000001E-3</v>
      </c>
      <c r="F38" s="9" t="str">
        <f t="shared" si="0"/>
        <v/>
      </c>
      <c r="G38" s="9" t="str">
        <f>+CONCATENATE(ROUND(E38,3), " ",F38)</f>
        <v xml:space="preserve">-0,002 </v>
      </c>
      <c r="H38" s="9"/>
      <c r="I38" s="9" t="str">
        <f t="shared" si="0"/>
        <v>***</v>
      </c>
      <c r="J38" s="9" t="str">
        <f>+CONCATENATE(ROUND(H38,3), " ",I38)</f>
        <v>0 ***</v>
      </c>
      <c r="K38" s="9"/>
      <c r="L38" s="9" t="str">
        <f t="shared" si="0"/>
        <v>***</v>
      </c>
      <c r="M38" s="9" t="str">
        <f>+CONCATENATE(ROUND(K38,3), " ",L38)</f>
        <v>0 ***</v>
      </c>
      <c r="N38" s="9"/>
      <c r="O38" s="9" t="str">
        <f t="shared" si="0"/>
        <v>***</v>
      </c>
      <c r="P38" s="9" t="str">
        <f>+CONCATENATE(ROUND(N38,3), " ",O38)</f>
        <v>0 ***</v>
      </c>
      <c r="Q38" s="9"/>
      <c r="R38" s="9" t="str">
        <f t="shared" si="2"/>
        <v>***</v>
      </c>
      <c r="S38" s="9" t="str">
        <f>+CONCATENATE(ROUND(Q38,3), " ",R38)</f>
        <v>0 ***</v>
      </c>
      <c r="T38" s="9">
        <v>-2.8799999999999999E-2</v>
      </c>
      <c r="U38" s="9" t="str">
        <f t="shared" si="2"/>
        <v>***</v>
      </c>
      <c r="V38" s="9" t="str">
        <f>+CONCATENATE(ROUND(T38,3), " ",U38)</f>
        <v>-0,029 ***</v>
      </c>
      <c r="W38" s="9">
        <v>-2.4400000000000002E-2</v>
      </c>
      <c r="X38" s="9" t="str">
        <f t="shared" si="2"/>
        <v>***</v>
      </c>
      <c r="Y38" s="9" t="str">
        <f>+CONCATENATE(ROUND(W38,3), " ",X38)</f>
        <v>-0,024 ***</v>
      </c>
      <c r="Z38" s="9">
        <v>-3.4700000000000002E-2</v>
      </c>
      <c r="AA38" s="9" t="str">
        <f t="shared" si="2"/>
        <v>***</v>
      </c>
      <c r="AB38" s="9" t="str">
        <f>+CONCATENATE(ROUND(Z38,3), " ",AA38)</f>
        <v>-0,035 ***</v>
      </c>
      <c r="AC38" s="9">
        <v>-2.9600000000000001E-2</v>
      </c>
      <c r="AD38" s="9" t="str">
        <f t="shared" si="2"/>
        <v>***</v>
      </c>
      <c r="AE38" s="9" t="str">
        <f>+CONCATENATE(ROUND(AC38,3), " ",AD38)</f>
        <v>-0,03 ***</v>
      </c>
      <c r="AF38" s="9"/>
      <c r="AG38" s="9" t="str">
        <f t="shared" si="2"/>
        <v>***</v>
      </c>
      <c r="AH38" s="9" t="str">
        <f>+CONCATENATE(ROUND(AF38,3), " ",AG38)</f>
        <v>0 ***</v>
      </c>
      <c r="AI38" s="9"/>
      <c r="AJ38" s="9" t="str">
        <f t="shared" si="1"/>
        <v>***</v>
      </c>
      <c r="AK38" s="9" t="str">
        <f>+CONCATENATE(ROUND(AI38,3), " ",AJ38)</f>
        <v>0 ***</v>
      </c>
      <c r="AL38" s="9"/>
      <c r="AM38" s="9" t="str">
        <f t="shared" si="1"/>
        <v>***</v>
      </c>
      <c r="AN38" s="9" t="str">
        <f>+CONCATENATE(ROUND(AL38,3), " ",AM38)</f>
        <v>0 ***</v>
      </c>
      <c r="AO38" s="9"/>
      <c r="AP38" s="9" t="str">
        <f t="shared" si="1"/>
        <v>***</v>
      </c>
      <c r="AQ38" s="9" t="str">
        <f>+CONCATENATE(ROUND(AO38,3), " ",AP38)</f>
        <v>0 ***</v>
      </c>
    </row>
    <row r="39" spans="1:43" x14ac:dyDescent="0.25">
      <c r="B39" s="9">
        <v>3.0000000000000001E-3</v>
      </c>
      <c r="C39" s="9" t="str">
        <f t="shared" si="0"/>
        <v/>
      </c>
      <c r="D39" s="9" t="s">
        <v>120</v>
      </c>
      <c r="E39" s="9">
        <v>3.0000000000000001E-3</v>
      </c>
      <c r="F39" s="9" t="str">
        <f t="shared" si="0"/>
        <v/>
      </c>
      <c r="G39" s="9" t="str">
        <f>+CONCATENATE("(",ROUND(E39,3),")")</f>
        <v>(0,003)</v>
      </c>
      <c r="H39" s="9"/>
      <c r="I39" s="9" t="str">
        <f t="shared" si="0"/>
        <v/>
      </c>
      <c r="J39" s="9" t="str">
        <f>+CONCATENATE("(",ROUND(H39,3),")")</f>
        <v>(0)</v>
      </c>
      <c r="K39" s="9"/>
      <c r="L39" s="9" t="str">
        <f t="shared" si="0"/>
        <v/>
      </c>
      <c r="M39" s="9" t="str">
        <f>+CONCATENATE("(",ROUND(K39,3),")")</f>
        <v>(0)</v>
      </c>
      <c r="N39" s="9"/>
      <c r="O39" s="9" t="str">
        <f t="shared" si="0"/>
        <v/>
      </c>
      <c r="P39" s="9" t="str">
        <f>+CONCATENATE("(",ROUND(N39,3),")")</f>
        <v>(0)</v>
      </c>
      <c r="Q39" s="9"/>
      <c r="R39" s="9" t="str">
        <f t="shared" si="2"/>
        <v/>
      </c>
      <c r="S39" s="9" t="str">
        <f>+CONCATENATE("(",ROUND(Q39,3),")")</f>
        <v>(0)</v>
      </c>
      <c r="T39" s="9">
        <v>8.0000000000000002E-3</v>
      </c>
      <c r="U39" s="9" t="str">
        <f t="shared" si="2"/>
        <v/>
      </c>
      <c r="V39" s="9" t="str">
        <f>+CONCATENATE("(",ROUND(T39,3),")")</f>
        <v>(0,008)</v>
      </c>
      <c r="W39" s="9">
        <v>7.0000000000000001E-3</v>
      </c>
      <c r="X39" s="9" t="str">
        <f t="shared" si="2"/>
        <v/>
      </c>
      <c r="Y39" s="9" t="str">
        <f>+CONCATENATE("(",ROUND(W39,3),")")</f>
        <v>(0,007)</v>
      </c>
      <c r="Z39" s="9">
        <v>8.0000000000000002E-3</v>
      </c>
      <c r="AA39" s="9" t="str">
        <f t="shared" si="2"/>
        <v/>
      </c>
      <c r="AB39" s="9" t="str">
        <f>+CONCATENATE("(",ROUND(Z39,3),")")</f>
        <v>(0,008)</v>
      </c>
      <c r="AC39" s="9">
        <v>8.0000000000000002E-3</v>
      </c>
      <c r="AD39" s="9" t="str">
        <f t="shared" si="2"/>
        <v/>
      </c>
      <c r="AE39" s="9" t="str">
        <f>+CONCATENATE("(",ROUND(AC39,3),")")</f>
        <v>(0,008)</v>
      </c>
      <c r="AF39" s="9"/>
      <c r="AG39" s="9" t="str">
        <f t="shared" si="2"/>
        <v/>
      </c>
      <c r="AH39" s="9" t="str">
        <f>+CONCATENATE("(",ROUND(AF39,3),")")</f>
        <v>(0)</v>
      </c>
      <c r="AI39" s="9"/>
      <c r="AJ39" s="9" t="str">
        <f t="shared" si="1"/>
        <v/>
      </c>
      <c r="AK39" s="9" t="str">
        <f>+CONCATENATE("(",ROUND(AI39,3),")")</f>
        <v>(0)</v>
      </c>
      <c r="AL39" s="9"/>
      <c r="AM39" s="9" t="str">
        <f t="shared" si="1"/>
        <v/>
      </c>
      <c r="AN39" s="9" t="str">
        <f>+CONCATENATE("(",ROUND(AL39,3),")")</f>
        <v>(0)</v>
      </c>
      <c r="AO39" s="9"/>
      <c r="AP39" s="9" t="str">
        <f t="shared" si="1"/>
        <v/>
      </c>
      <c r="AQ39" s="9" t="str">
        <f>+CONCATENATE("(",ROUND(AO39,3),")")</f>
        <v>(0)</v>
      </c>
    </row>
    <row r="40" spans="1:43" x14ac:dyDescent="0.25">
      <c r="B40" s="9">
        <v>0.159</v>
      </c>
      <c r="C40" s="9" t="str">
        <f t="shared" si="0"/>
        <v/>
      </c>
      <c r="D40" s="9"/>
      <c r="E40" s="9">
        <v>0.58199999999999996</v>
      </c>
      <c r="F40" s="9" t="str">
        <f t="shared" si="0"/>
        <v/>
      </c>
      <c r="G40" s="9"/>
      <c r="H40" s="9"/>
      <c r="I40" s="9" t="str">
        <f t="shared" si="0"/>
        <v/>
      </c>
      <c r="J40" s="9"/>
      <c r="K40" s="9"/>
      <c r="L40" s="9" t="str">
        <f t="shared" si="0"/>
        <v/>
      </c>
      <c r="M40" s="9"/>
      <c r="N40" s="9"/>
      <c r="O40" s="9" t="str">
        <f t="shared" si="0"/>
        <v/>
      </c>
      <c r="P40" s="9"/>
      <c r="Q40" s="9"/>
      <c r="R40" s="9" t="str">
        <f t="shared" si="2"/>
        <v/>
      </c>
      <c r="S40" s="9"/>
      <c r="T40" s="9">
        <v>0</v>
      </c>
      <c r="U40" s="9" t="str">
        <f t="shared" si="2"/>
        <v/>
      </c>
      <c r="V40" s="9"/>
      <c r="W40" s="9">
        <v>1E-3</v>
      </c>
      <c r="X40" s="9" t="str">
        <f t="shared" si="2"/>
        <v/>
      </c>
      <c r="Y40" s="9"/>
      <c r="Z40" s="9">
        <v>0</v>
      </c>
      <c r="AA40" s="9" t="str">
        <f t="shared" si="2"/>
        <v/>
      </c>
      <c r="AB40" s="9"/>
      <c r="AC40" s="9">
        <v>0</v>
      </c>
      <c r="AD40" s="9" t="str">
        <f t="shared" si="2"/>
        <v/>
      </c>
      <c r="AE40" s="9"/>
      <c r="AF40" s="9"/>
      <c r="AG40" s="9" t="str">
        <f t="shared" si="2"/>
        <v/>
      </c>
      <c r="AH40" s="9"/>
      <c r="AI40" s="9"/>
      <c r="AJ40" s="9" t="str">
        <f t="shared" si="1"/>
        <v/>
      </c>
      <c r="AK40" s="9"/>
      <c r="AL40" s="9"/>
      <c r="AM40" s="9" t="str">
        <f t="shared" si="1"/>
        <v/>
      </c>
      <c r="AN40" s="9"/>
      <c r="AO40" s="9"/>
      <c r="AP40" s="9" t="str">
        <f t="shared" si="1"/>
        <v/>
      </c>
      <c r="AQ40" s="9"/>
    </row>
    <row r="41" spans="1:43" x14ac:dyDescent="0.25">
      <c r="A41" t="s">
        <v>42</v>
      </c>
      <c r="B41" s="9">
        <v>-0.85699999999999998</v>
      </c>
      <c r="C41" s="9" t="str">
        <f t="shared" si="0"/>
        <v>***</v>
      </c>
      <c r="D41" s="9" t="s">
        <v>241</v>
      </c>
      <c r="E41" s="9">
        <v>-0.73680000000000001</v>
      </c>
      <c r="F41" s="9" t="str">
        <f t="shared" si="0"/>
        <v>***</v>
      </c>
      <c r="G41" s="9" t="str">
        <f>+CONCATENATE(ROUND(E41,3), " ",F41)</f>
        <v>-0,737 ***</v>
      </c>
      <c r="H41" s="9"/>
      <c r="I41" s="9" t="str">
        <f t="shared" si="0"/>
        <v>***</v>
      </c>
      <c r="J41" s="9" t="str">
        <f>+CONCATENATE(ROUND(H41,3), " ",I41)</f>
        <v>0 ***</v>
      </c>
      <c r="K41" s="9"/>
      <c r="L41" s="9" t="str">
        <f t="shared" si="0"/>
        <v>***</v>
      </c>
      <c r="M41" s="9" t="str">
        <f>+CONCATENATE(ROUND(K41,3), " ",L41)</f>
        <v>0 ***</v>
      </c>
      <c r="N41" s="9"/>
      <c r="O41" s="9" t="str">
        <f t="shared" si="0"/>
        <v>***</v>
      </c>
      <c r="P41" s="9" t="str">
        <f>+CONCATENATE(ROUND(N41,3), " ",O41)</f>
        <v>0 ***</v>
      </c>
      <c r="Q41" s="9"/>
      <c r="R41" s="9" t="str">
        <f t="shared" si="2"/>
        <v>***</v>
      </c>
      <c r="S41" s="9" t="str">
        <f>+CONCATENATE(ROUND(Q41,3), " ",R41)</f>
        <v>0 ***</v>
      </c>
      <c r="T41" s="9"/>
      <c r="U41" s="9" t="str">
        <f t="shared" si="2"/>
        <v>***</v>
      </c>
      <c r="V41" s="9" t="str">
        <f>+CONCATENATE(ROUND(T41,3), " ",U41)</f>
        <v>0 ***</v>
      </c>
      <c r="W41" s="9"/>
      <c r="X41" s="9" t="str">
        <f t="shared" si="2"/>
        <v>***</v>
      </c>
      <c r="Y41" s="9" t="str">
        <f>+CONCATENATE(ROUND(W41,3), " ",X41)</f>
        <v>0 ***</v>
      </c>
      <c r="Z41" s="9"/>
      <c r="AA41" s="9" t="str">
        <f t="shared" si="2"/>
        <v>***</v>
      </c>
      <c r="AB41" s="9" t="str">
        <f>+CONCATENATE(ROUND(Z41,3), " ",AA41)</f>
        <v>0 ***</v>
      </c>
      <c r="AC41" s="9"/>
      <c r="AD41" s="9" t="str">
        <f t="shared" si="2"/>
        <v>***</v>
      </c>
      <c r="AE41" s="9" t="str">
        <f>+CONCATENATE(ROUND(AC41,3), " ",AD41)</f>
        <v>0 ***</v>
      </c>
      <c r="AF41" s="9">
        <v>-0.85699999999999998</v>
      </c>
      <c r="AG41" s="9" t="str">
        <f t="shared" si="2"/>
        <v>***</v>
      </c>
      <c r="AH41" s="9" t="str">
        <f>+CONCATENATE(ROUND(AF41,3), " ",AG41)</f>
        <v>-0,857 ***</v>
      </c>
      <c r="AI41" s="9">
        <v>-0.74109999999999998</v>
      </c>
      <c r="AJ41" s="9" t="str">
        <f t="shared" si="1"/>
        <v>***</v>
      </c>
      <c r="AK41" s="9" t="str">
        <f>+CONCATENATE(ROUND(AI41,3), " ",AJ41)</f>
        <v>-0,741 ***</v>
      </c>
      <c r="AL41" s="9"/>
      <c r="AM41" s="9" t="str">
        <f t="shared" si="1"/>
        <v>***</v>
      </c>
      <c r="AN41" s="9" t="str">
        <f>+CONCATENATE(ROUND(AL41,3), " ",AM41)</f>
        <v>0 ***</v>
      </c>
      <c r="AO41" s="9"/>
      <c r="AP41" s="9" t="str">
        <f t="shared" si="1"/>
        <v>***</v>
      </c>
      <c r="AQ41" s="9" t="str">
        <f>+CONCATENATE(ROUND(AO41,3), " ",AP41)</f>
        <v>0 ***</v>
      </c>
    </row>
    <row r="42" spans="1:43" x14ac:dyDescent="0.25">
      <c r="B42" s="9">
        <v>9.7000000000000003E-2</v>
      </c>
      <c r="C42" s="9" t="str">
        <f t="shared" si="0"/>
        <v/>
      </c>
      <c r="D42" s="9" t="s">
        <v>242</v>
      </c>
      <c r="E42" s="9">
        <v>8.8999999999999996E-2</v>
      </c>
      <c r="F42" s="9" t="str">
        <f t="shared" si="0"/>
        <v/>
      </c>
      <c r="G42" s="9" t="str">
        <f>+CONCATENATE("(",ROUND(E42,3),")")</f>
        <v>(0,089)</v>
      </c>
      <c r="H42" s="9"/>
      <c r="I42" s="9" t="str">
        <f t="shared" si="0"/>
        <v/>
      </c>
      <c r="J42" s="9" t="str">
        <f>+CONCATENATE("(",ROUND(H42,3),")")</f>
        <v>(0)</v>
      </c>
      <c r="K42" s="9"/>
      <c r="L42" s="9" t="str">
        <f t="shared" si="0"/>
        <v/>
      </c>
      <c r="M42" s="9" t="str">
        <f>+CONCATENATE("(",ROUND(K42,3),")")</f>
        <v>(0)</v>
      </c>
      <c r="N42" s="9"/>
      <c r="O42" s="9" t="str">
        <f t="shared" si="0"/>
        <v/>
      </c>
      <c r="P42" s="9" t="str">
        <f>+CONCATENATE("(",ROUND(N42,3),")")</f>
        <v>(0)</v>
      </c>
      <c r="Q42" s="9"/>
      <c r="R42" s="9" t="str">
        <f t="shared" si="2"/>
        <v/>
      </c>
      <c r="S42" s="9" t="str">
        <f>+CONCATENATE("(",ROUND(Q42,3),")")</f>
        <v>(0)</v>
      </c>
      <c r="T42" s="9"/>
      <c r="U42" s="9" t="str">
        <f t="shared" si="2"/>
        <v/>
      </c>
      <c r="V42" s="9" t="str">
        <f>+CONCATENATE("(",ROUND(T42,3),")")</f>
        <v>(0)</v>
      </c>
      <c r="W42" s="9"/>
      <c r="X42" s="9" t="str">
        <f t="shared" si="2"/>
        <v/>
      </c>
      <c r="Y42" s="9" t="str">
        <f>+CONCATENATE("(",ROUND(W42,3),")")</f>
        <v>(0)</v>
      </c>
      <c r="Z42" s="9"/>
      <c r="AA42" s="9" t="str">
        <f t="shared" si="2"/>
        <v/>
      </c>
      <c r="AB42" s="9" t="str">
        <f>+CONCATENATE("(",ROUND(Z42,3),")")</f>
        <v>(0)</v>
      </c>
      <c r="AC42" s="9"/>
      <c r="AD42" s="9" t="str">
        <f t="shared" si="2"/>
        <v/>
      </c>
      <c r="AE42" s="9" t="str">
        <f>+CONCATENATE("(",ROUND(AC42,3),")")</f>
        <v>(0)</v>
      </c>
      <c r="AF42" s="9">
        <v>9.5000000000000001E-2</v>
      </c>
      <c r="AG42" s="9" t="str">
        <f t="shared" si="2"/>
        <v/>
      </c>
      <c r="AH42" s="9" t="str">
        <f>+CONCATENATE("(",ROUND(AF42,3),")")</f>
        <v>(0,095)</v>
      </c>
      <c r="AI42" s="9">
        <v>8.6999999999999994E-2</v>
      </c>
      <c r="AJ42" s="9" t="str">
        <f t="shared" si="1"/>
        <v/>
      </c>
      <c r="AK42" s="9" t="str">
        <f>+CONCATENATE("(",ROUND(AI42,3),")")</f>
        <v>(0,087)</v>
      </c>
      <c r="AL42" s="9"/>
      <c r="AM42" s="9" t="str">
        <f t="shared" si="1"/>
        <v/>
      </c>
      <c r="AN42" s="9" t="str">
        <f>+CONCATENATE("(",ROUND(AL42,3),")")</f>
        <v>(0)</v>
      </c>
      <c r="AO42" s="9"/>
      <c r="AP42" s="9" t="str">
        <f t="shared" si="1"/>
        <v/>
      </c>
      <c r="AQ42" s="9" t="str">
        <f>+CONCATENATE("(",ROUND(AO42,3),")")</f>
        <v>(0)</v>
      </c>
    </row>
    <row r="43" spans="1:43" x14ac:dyDescent="0.25">
      <c r="B43" s="9">
        <v>0</v>
      </c>
      <c r="C43" s="9" t="str">
        <f t="shared" si="0"/>
        <v/>
      </c>
      <c r="D43" s="9"/>
      <c r="E43" s="9">
        <v>0</v>
      </c>
      <c r="F43" s="9" t="str">
        <f t="shared" si="0"/>
        <v/>
      </c>
      <c r="G43" s="9"/>
      <c r="H43" s="9"/>
      <c r="I43" s="9" t="str">
        <f t="shared" si="0"/>
        <v/>
      </c>
      <c r="J43" s="9"/>
      <c r="K43" s="9"/>
      <c r="L43" s="9" t="str">
        <f t="shared" si="0"/>
        <v/>
      </c>
      <c r="M43" s="9"/>
      <c r="N43" s="9"/>
      <c r="O43" s="9" t="str">
        <f t="shared" si="0"/>
        <v/>
      </c>
      <c r="P43" s="9"/>
      <c r="Q43" s="9"/>
      <c r="R43" s="9" t="str">
        <f t="shared" si="2"/>
        <v/>
      </c>
      <c r="S43" s="9"/>
      <c r="T43" s="9"/>
      <c r="U43" s="9" t="str">
        <f t="shared" si="2"/>
        <v/>
      </c>
      <c r="V43" s="9"/>
      <c r="W43" s="9"/>
      <c r="X43" s="9" t="str">
        <f t="shared" si="2"/>
        <v/>
      </c>
      <c r="Y43" s="9"/>
      <c r="Z43" s="9"/>
      <c r="AA43" s="9" t="str">
        <f t="shared" si="2"/>
        <v/>
      </c>
      <c r="AB43" s="9"/>
      <c r="AC43" s="9"/>
      <c r="AD43" s="9" t="str">
        <f t="shared" si="2"/>
        <v/>
      </c>
      <c r="AE43" s="9"/>
      <c r="AF43" s="9">
        <v>0</v>
      </c>
      <c r="AG43" s="9" t="str">
        <f t="shared" si="2"/>
        <v/>
      </c>
      <c r="AH43" s="9"/>
      <c r="AI43" s="9">
        <v>0</v>
      </c>
      <c r="AJ43" s="9" t="str">
        <f t="shared" si="1"/>
        <v/>
      </c>
      <c r="AK43" s="9"/>
      <c r="AL43" s="9"/>
      <c r="AM43" s="9" t="str">
        <f t="shared" si="1"/>
        <v/>
      </c>
      <c r="AN43" s="9"/>
      <c r="AO43" s="9"/>
      <c r="AP43" s="9" t="str">
        <f t="shared" si="1"/>
        <v/>
      </c>
      <c r="AQ43" s="9"/>
    </row>
    <row r="44" spans="1:43" x14ac:dyDescent="0.25">
      <c r="A44" t="s">
        <v>43</v>
      </c>
      <c r="B44" s="9">
        <v>1.6315999999999999</v>
      </c>
      <c r="C44" s="9" t="str">
        <f t="shared" si="0"/>
        <v>***</v>
      </c>
      <c r="D44" s="9" t="s">
        <v>243</v>
      </c>
      <c r="E44" s="9">
        <v>1.5058</v>
      </c>
      <c r="F44" s="9" t="str">
        <f t="shared" si="0"/>
        <v>***</v>
      </c>
      <c r="G44" s="9" t="str">
        <f>+CONCATENATE(ROUND(E44,3), " ",F44)</f>
        <v>1,506 ***</v>
      </c>
      <c r="H44" s="9">
        <v>0.62990000000000002</v>
      </c>
      <c r="I44" s="9" t="str">
        <f t="shared" si="0"/>
        <v>***</v>
      </c>
      <c r="J44" s="9" t="str">
        <f>+CONCATENATE(ROUND(H44,3), " ",I44)</f>
        <v>0,63 ***</v>
      </c>
      <c r="K44" s="9">
        <v>0.64610000000000001</v>
      </c>
      <c r="L44" s="9" t="str">
        <f t="shared" si="0"/>
        <v>***</v>
      </c>
      <c r="M44" s="9" t="str">
        <f>+CONCATENATE(ROUND(K44,3), " ",L44)</f>
        <v>0,646 ***</v>
      </c>
      <c r="N44" s="9">
        <v>0.63790000000000002</v>
      </c>
      <c r="O44" s="9" t="str">
        <f t="shared" si="0"/>
        <v>***</v>
      </c>
      <c r="P44" s="9" t="str">
        <f>+CONCATENATE(ROUND(N44,3), " ",O44)</f>
        <v>0,638 ***</v>
      </c>
      <c r="Q44" s="9">
        <v>0.64739999999999998</v>
      </c>
      <c r="R44" s="9" t="str">
        <f t="shared" si="2"/>
        <v>***</v>
      </c>
      <c r="S44" s="9" t="str">
        <f>+CONCATENATE(ROUND(Q44,3), " ",R44)</f>
        <v>0,647 ***</v>
      </c>
      <c r="T44" s="9"/>
      <c r="U44" s="9" t="str">
        <f t="shared" si="2"/>
        <v>***</v>
      </c>
      <c r="V44" s="9" t="str">
        <f>+CONCATENATE(ROUND(T44,3), " ",U44)</f>
        <v>0 ***</v>
      </c>
      <c r="W44" s="9"/>
      <c r="X44" s="9" t="str">
        <f t="shared" si="2"/>
        <v>***</v>
      </c>
      <c r="Y44" s="9" t="str">
        <f>+CONCATENATE(ROUND(W44,3), " ",X44)</f>
        <v>0 ***</v>
      </c>
      <c r="Z44" s="9"/>
      <c r="AA44" s="9" t="str">
        <f t="shared" si="2"/>
        <v>***</v>
      </c>
      <c r="AB44" s="9" t="str">
        <f>+CONCATENATE(ROUND(Z44,3), " ",AA44)</f>
        <v>0 ***</v>
      </c>
      <c r="AC44" s="9"/>
      <c r="AD44" s="9" t="str">
        <f t="shared" si="2"/>
        <v>***</v>
      </c>
      <c r="AE44" s="9" t="str">
        <f>+CONCATENATE(ROUND(AC44,3), " ",AD44)</f>
        <v>0 ***</v>
      </c>
      <c r="AF44" s="9">
        <v>1.6218999999999999</v>
      </c>
      <c r="AG44" s="9" t="str">
        <f t="shared" ref="AG44:AP58" si="3">+IF($A44&lt;&gt;"",IF(AF46&lt;0.01,"***",IF(AF46&lt;0.05,"**",IF(AF46&lt;0.1,"*",""))),"")</f>
        <v>***</v>
      </c>
      <c r="AH44" s="9" t="str">
        <f>+CONCATENATE(ROUND(AF44,3), " ",AG44)</f>
        <v>1,622 ***</v>
      </c>
      <c r="AI44" s="9">
        <v>1.5041</v>
      </c>
      <c r="AJ44" s="9" t="str">
        <f t="shared" si="3"/>
        <v>***</v>
      </c>
      <c r="AK44" s="9" t="str">
        <f>+CONCATENATE(ROUND(AI44,3), " ",AJ44)</f>
        <v>1,504 ***</v>
      </c>
      <c r="AL44" s="9">
        <v>0.64300000000000002</v>
      </c>
      <c r="AM44" s="9" t="str">
        <f t="shared" si="3"/>
        <v>***</v>
      </c>
      <c r="AN44" s="9" t="str">
        <f>+CONCATENATE(ROUND(AL44,3), " ",AM44)</f>
        <v>0,643 ***</v>
      </c>
      <c r="AO44" s="9">
        <v>0.65390000000000004</v>
      </c>
      <c r="AP44" s="9" t="str">
        <f t="shared" si="3"/>
        <v>***</v>
      </c>
      <c r="AQ44" s="9" t="str">
        <f>+CONCATENATE(ROUND(AO44,3), " ",AP44)</f>
        <v>0,654 ***</v>
      </c>
    </row>
    <row r="45" spans="1:43" x14ac:dyDescent="0.25">
      <c r="B45" s="9">
        <v>0.106</v>
      </c>
      <c r="C45" s="9" t="str">
        <f t="shared" si="0"/>
        <v/>
      </c>
      <c r="D45" s="9" t="s">
        <v>244</v>
      </c>
      <c r="E45" s="9">
        <v>9.8000000000000004E-2</v>
      </c>
      <c r="F45" s="9" t="str">
        <f t="shared" si="0"/>
        <v/>
      </c>
      <c r="G45" s="9" t="str">
        <f>+CONCATENATE("(",ROUND(E45,3),")")</f>
        <v>(0,098)</v>
      </c>
      <c r="H45" s="9">
        <v>1.2E-2</v>
      </c>
      <c r="I45" s="9" t="str">
        <f t="shared" si="0"/>
        <v/>
      </c>
      <c r="J45" s="9" t="str">
        <f>+CONCATENATE("(",ROUND(H45,3),")")</f>
        <v>(0,012)</v>
      </c>
      <c r="K45" s="9">
        <v>1.2E-2</v>
      </c>
      <c r="L45" s="9" t="str">
        <f t="shared" si="0"/>
        <v/>
      </c>
      <c r="M45" s="9" t="str">
        <f>+CONCATENATE("(",ROUND(K45,3),")")</f>
        <v>(0,012)</v>
      </c>
      <c r="N45" s="9">
        <v>1.0999999999999999E-2</v>
      </c>
      <c r="O45" s="9" t="str">
        <f t="shared" si="0"/>
        <v/>
      </c>
      <c r="P45" s="9" t="str">
        <f>+CONCATENATE("(",ROUND(N45,3),")")</f>
        <v>(0,011)</v>
      </c>
      <c r="Q45" s="9">
        <v>1.2E-2</v>
      </c>
      <c r="R45" s="9" t="str">
        <f t="shared" si="2"/>
        <v/>
      </c>
      <c r="S45" s="9" t="str">
        <f>+CONCATENATE("(",ROUND(Q45,3),")")</f>
        <v>(0,012)</v>
      </c>
      <c r="T45" s="9"/>
      <c r="U45" s="9" t="str">
        <f t="shared" si="2"/>
        <v/>
      </c>
      <c r="V45" s="9" t="str">
        <f>+CONCATENATE("(",ROUND(T45,3),")")</f>
        <v>(0)</v>
      </c>
      <c r="W45" s="9"/>
      <c r="X45" s="9" t="str">
        <f t="shared" si="2"/>
        <v/>
      </c>
      <c r="Y45" s="9" t="str">
        <f>+CONCATENATE("(",ROUND(W45,3),")")</f>
        <v>(0)</v>
      </c>
      <c r="Z45" s="9"/>
      <c r="AA45" s="9" t="str">
        <f t="shared" si="2"/>
        <v/>
      </c>
      <c r="AB45" s="9" t="str">
        <f>+CONCATENATE("(",ROUND(Z45,3),")")</f>
        <v>(0)</v>
      </c>
      <c r="AC45" s="9"/>
      <c r="AD45" s="9" t="str">
        <f t="shared" si="2"/>
        <v/>
      </c>
      <c r="AE45" s="9" t="str">
        <f>+CONCATENATE("(",ROUND(AC45,3),")")</f>
        <v>(0)</v>
      </c>
      <c r="AF45" s="9">
        <v>0.10299999999999999</v>
      </c>
      <c r="AG45" s="9" t="str">
        <f t="shared" si="3"/>
        <v/>
      </c>
      <c r="AH45" s="9" t="str">
        <f>+CONCATENATE("(",ROUND(AF45,3),")")</f>
        <v>(0,103)</v>
      </c>
      <c r="AI45" s="9">
        <v>9.6000000000000002E-2</v>
      </c>
      <c r="AJ45" s="9" t="str">
        <f t="shared" si="3"/>
        <v/>
      </c>
      <c r="AK45" s="9" t="str">
        <f>+CONCATENATE("(",ROUND(AI45,3),")")</f>
        <v>(0,096)</v>
      </c>
      <c r="AL45" s="9">
        <v>1.0999999999999999E-2</v>
      </c>
      <c r="AM45" s="9" t="str">
        <f t="shared" si="3"/>
        <v/>
      </c>
      <c r="AN45" s="9" t="str">
        <f>+CONCATENATE("(",ROUND(AL45,3),")")</f>
        <v>(0,011)</v>
      </c>
      <c r="AO45" s="9">
        <v>1.2E-2</v>
      </c>
      <c r="AP45" s="9" t="str">
        <f t="shared" si="3"/>
        <v/>
      </c>
      <c r="AQ45" s="9" t="str">
        <f>+CONCATENATE("(",ROUND(AO45,3),")")</f>
        <v>(0,012)</v>
      </c>
    </row>
    <row r="46" spans="1:43" x14ac:dyDescent="0.25">
      <c r="B46" s="9">
        <v>0</v>
      </c>
      <c r="C46" s="9" t="str">
        <f t="shared" si="0"/>
        <v/>
      </c>
      <c r="D46" s="9"/>
      <c r="E46" s="9">
        <v>0</v>
      </c>
      <c r="F46" s="9" t="str">
        <f t="shared" si="0"/>
        <v/>
      </c>
      <c r="G46" s="9"/>
      <c r="H46" s="9">
        <v>0</v>
      </c>
      <c r="I46" s="9" t="str">
        <f t="shared" si="0"/>
        <v/>
      </c>
      <c r="J46" s="9"/>
      <c r="K46" s="9">
        <v>0</v>
      </c>
      <c r="L46" s="9" t="str">
        <f t="shared" si="0"/>
        <v/>
      </c>
      <c r="M46" s="9"/>
      <c r="N46" s="9">
        <v>0</v>
      </c>
      <c r="O46" s="9" t="str">
        <f t="shared" si="0"/>
        <v/>
      </c>
      <c r="P46" s="9"/>
      <c r="Q46" s="9">
        <v>0</v>
      </c>
      <c r="R46" s="9" t="str">
        <f t="shared" si="2"/>
        <v/>
      </c>
      <c r="S46" s="9"/>
      <c r="T46" s="9"/>
      <c r="U46" s="9" t="str">
        <f t="shared" si="2"/>
        <v/>
      </c>
      <c r="V46" s="9"/>
      <c r="W46" s="9"/>
      <c r="X46" s="9" t="str">
        <f t="shared" si="2"/>
        <v/>
      </c>
      <c r="Y46" s="9"/>
      <c r="Z46" s="9"/>
      <c r="AA46" s="9" t="str">
        <f t="shared" si="2"/>
        <v/>
      </c>
      <c r="AB46" s="9"/>
      <c r="AC46" s="9"/>
      <c r="AD46" s="9" t="str">
        <f t="shared" si="2"/>
        <v/>
      </c>
      <c r="AE46" s="9"/>
      <c r="AF46" s="9">
        <v>0</v>
      </c>
      <c r="AG46" s="9" t="str">
        <f t="shared" si="3"/>
        <v/>
      </c>
      <c r="AH46" s="9"/>
      <c r="AI46" s="9">
        <v>0</v>
      </c>
      <c r="AJ46" s="9" t="str">
        <f t="shared" si="3"/>
        <v/>
      </c>
      <c r="AK46" s="9"/>
      <c r="AL46" s="9">
        <v>0</v>
      </c>
      <c r="AM46" s="9" t="str">
        <f t="shared" si="3"/>
        <v/>
      </c>
      <c r="AN46" s="9"/>
      <c r="AO46" s="9">
        <v>0</v>
      </c>
      <c r="AP46" s="9" t="str">
        <f t="shared" si="3"/>
        <v/>
      </c>
      <c r="AQ46" s="9"/>
    </row>
    <row r="47" spans="1:43" x14ac:dyDescent="0.25">
      <c r="A47" t="s">
        <v>44</v>
      </c>
      <c r="B47" s="9">
        <v>-7.3000000000000001E-3</v>
      </c>
      <c r="C47" s="9" t="str">
        <f t="shared" si="0"/>
        <v/>
      </c>
      <c r="D47" s="9" t="s">
        <v>245</v>
      </c>
      <c r="E47" s="9">
        <v>-9.8100000000000007E-2</v>
      </c>
      <c r="F47" s="9" t="str">
        <f t="shared" si="0"/>
        <v/>
      </c>
      <c r="G47" s="9" t="str">
        <f>+CONCATENATE(ROUND(E47,3), " ",F47)</f>
        <v xml:space="preserve">-0,098 </v>
      </c>
      <c r="H47" s="9">
        <v>6.2700000000000006E-2</v>
      </c>
      <c r="I47" s="9" t="str">
        <f t="shared" si="0"/>
        <v/>
      </c>
      <c r="J47" s="9" t="str">
        <f>+CONCATENATE(ROUND(H47,3), " ",I47)</f>
        <v xml:space="preserve">0,063 </v>
      </c>
      <c r="K47" s="9">
        <v>-3.2800000000000003E-2</v>
      </c>
      <c r="L47" s="9" t="str">
        <f t="shared" si="0"/>
        <v/>
      </c>
      <c r="M47" s="9" t="str">
        <f>+CONCATENATE(ROUND(K47,3), " ",L47)</f>
        <v xml:space="preserve">-0,033 </v>
      </c>
      <c r="N47" s="9"/>
      <c r="O47" s="9" t="str">
        <f t="shared" si="0"/>
        <v>***</v>
      </c>
      <c r="P47" s="9" t="str">
        <f>+CONCATENATE(ROUND(N47,3), " ",O47)</f>
        <v>0 ***</v>
      </c>
      <c r="Q47" s="9"/>
      <c r="R47" s="9" t="str">
        <f t="shared" si="2"/>
        <v>***</v>
      </c>
      <c r="S47" s="9" t="str">
        <f>+CONCATENATE(ROUND(Q47,3), " ",R47)</f>
        <v>0 ***</v>
      </c>
      <c r="T47" s="9">
        <v>-1.77E-2</v>
      </c>
      <c r="U47" s="9" t="str">
        <f t="shared" si="2"/>
        <v/>
      </c>
      <c r="V47" s="9" t="str">
        <f>+CONCATENATE(ROUND(T47,3), " ",U47)</f>
        <v xml:space="preserve">-0,018 </v>
      </c>
      <c r="W47" s="9">
        <v>-0.1081</v>
      </c>
      <c r="X47" s="9" t="str">
        <f t="shared" si="2"/>
        <v/>
      </c>
      <c r="Y47" s="9" t="str">
        <f>+CONCATENATE(ROUND(W47,3), " ",X47)</f>
        <v xml:space="preserve">-0,108 </v>
      </c>
      <c r="Z47" s="9">
        <v>0.51770000000000005</v>
      </c>
      <c r="AA47" s="9" t="str">
        <f t="shared" si="2"/>
        <v>**</v>
      </c>
      <c r="AB47" s="9" t="str">
        <f>+CONCATENATE(ROUND(Z47,3), " ",AA47)</f>
        <v>0,518 **</v>
      </c>
      <c r="AC47" s="9">
        <v>0.22839999999999999</v>
      </c>
      <c r="AD47" s="9" t="str">
        <f t="shared" si="2"/>
        <v/>
      </c>
      <c r="AE47" s="9" t="str">
        <f>+CONCATENATE(ROUND(AC47,3), " ",AD47)</f>
        <v xml:space="preserve">0,228 </v>
      </c>
      <c r="AF47" s="9">
        <v>-2.2200000000000001E-2</v>
      </c>
      <c r="AG47" s="9" t="str">
        <f t="shared" si="3"/>
        <v/>
      </c>
      <c r="AH47" s="9" t="str">
        <f>+CONCATENATE(ROUND(AF47,3), " ",AG47)</f>
        <v xml:space="preserve">-0,022 </v>
      </c>
      <c r="AI47" s="9">
        <v>-9.6100000000000005E-2</v>
      </c>
      <c r="AJ47" s="9" t="str">
        <f t="shared" si="3"/>
        <v/>
      </c>
      <c r="AK47" s="9" t="str">
        <f>+CONCATENATE(ROUND(AI47,3), " ",AJ47)</f>
        <v xml:space="preserve">-0,096 </v>
      </c>
      <c r="AL47" s="9"/>
      <c r="AM47" s="9" t="str">
        <f t="shared" si="3"/>
        <v>***</v>
      </c>
      <c r="AN47" s="9" t="str">
        <f>+CONCATENATE(ROUND(AL47,3), " ",AM47)</f>
        <v>0 ***</v>
      </c>
      <c r="AO47" s="9"/>
      <c r="AP47" s="9" t="str">
        <f t="shared" si="3"/>
        <v>***</v>
      </c>
      <c r="AQ47" s="9" t="str">
        <f>+CONCATENATE(ROUND(AO47,3), " ",AP47)</f>
        <v>0 ***</v>
      </c>
    </row>
    <row r="48" spans="1:43" x14ac:dyDescent="0.25">
      <c r="B48" s="9">
        <v>8.6999999999999994E-2</v>
      </c>
      <c r="C48" s="9" t="str">
        <f t="shared" si="0"/>
        <v/>
      </c>
      <c r="D48" s="9" t="s">
        <v>246</v>
      </c>
      <c r="E48" s="9">
        <v>7.9000000000000001E-2</v>
      </c>
      <c r="F48" s="9" t="str">
        <f t="shared" si="0"/>
        <v/>
      </c>
      <c r="G48" s="9" t="str">
        <f>+CONCATENATE("(",ROUND(E48,3),")")</f>
        <v>(0,079)</v>
      </c>
      <c r="H48" s="9">
        <v>9.7000000000000003E-2</v>
      </c>
      <c r="I48" s="9" t="str">
        <f t="shared" si="0"/>
        <v/>
      </c>
      <c r="J48" s="9" t="str">
        <f>+CONCATENATE("(",ROUND(H48,3),")")</f>
        <v>(0,097)</v>
      </c>
      <c r="K48" s="9">
        <v>8.6999999999999994E-2</v>
      </c>
      <c r="L48" s="9" t="str">
        <f t="shared" si="0"/>
        <v/>
      </c>
      <c r="M48" s="9" t="str">
        <f>+CONCATENATE("(",ROUND(K48,3),")")</f>
        <v>(0,087)</v>
      </c>
      <c r="N48" s="9"/>
      <c r="O48" s="9" t="str">
        <f t="shared" si="0"/>
        <v/>
      </c>
      <c r="P48" s="9" t="str">
        <f>+CONCATENATE("(",ROUND(N48,3),")")</f>
        <v>(0)</v>
      </c>
      <c r="Q48" s="9"/>
      <c r="R48" s="9" t="str">
        <f t="shared" si="2"/>
        <v/>
      </c>
      <c r="S48" s="9" t="str">
        <f>+CONCATENATE("(",ROUND(Q48,3),")")</f>
        <v>(0)</v>
      </c>
      <c r="T48" s="9">
        <v>0.214</v>
      </c>
      <c r="U48" s="9" t="str">
        <f t="shared" si="2"/>
        <v/>
      </c>
      <c r="V48" s="9" t="str">
        <f>+CONCATENATE("(",ROUND(T48,3),")")</f>
        <v>(0,214)</v>
      </c>
      <c r="W48" s="9">
        <v>0.19700000000000001</v>
      </c>
      <c r="X48" s="9" t="str">
        <f t="shared" si="2"/>
        <v/>
      </c>
      <c r="Y48" s="9" t="str">
        <f>+CONCATENATE("(",ROUND(W48,3),")")</f>
        <v>(0,197)</v>
      </c>
      <c r="Z48" s="9">
        <v>0.218</v>
      </c>
      <c r="AA48" s="9" t="str">
        <f t="shared" si="2"/>
        <v/>
      </c>
      <c r="AB48" s="9" t="str">
        <f>+CONCATENATE("(",ROUND(Z48,3),")")</f>
        <v>(0,218)</v>
      </c>
      <c r="AC48" s="9">
        <v>0.20699999999999999</v>
      </c>
      <c r="AD48" s="9" t="str">
        <f t="shared" si="2"/>
        <v/>
      </c>
      <c r="AE48" s="9" t="str">
        <f>+CONCATENATE("(",ROUND(AC48,3),")")</f>
        <v>(0,207)</v>
      </c>
      <c r="AF48" s="9">
        <v>8.5999999999999993E-2</v>
      </c>
      <c r="AG48" s="9" t="str">
        <f t="shared" si="3"/>
        <v/>
      </c>
      <c r="AH48" s="9" t="str">
        <f>+CONCATENATE("(",ROUND(AF48,3),")")</f>
        <v>(0,086)</v>
      </c>
      <c r="AI48" s="9">
        <v>7.8E-2</v>
      </c>
      <c r="AJ48" s="9" t="str">
        <f t="shared" si="3"/>
        <v/>
      </c>
      <c r="AK48" s="9" t="str">
        <f>+CONCATENATE("(",ROUND(AI48,3),")")</f>
        <v>(0,078)</v>
      </c>
      <c r="AL48" s="9"/>
      <c r="AM48" s="9" t="str">
        <f t="shared" si="3"/>
        <v/>
      </c>
      <c r="AN48" s="9" t="str">
        <f>+CONCATENATE("(",ROUND(AL48,3),")")</f>
        <v>(0)</v>
      </c>
      <c r="AO48" s="9"/>
      <c r="AP48" s="9" t="str">
        <f t="shared" si="3"/>
        <v/>
      </c>
      <c r="AQ48" s="9" t="str">
        <f>+CONCATENATE("(",ROUND(AO48,3),")")</f>
        <v>(0)</v>
      </c>
    </row>
    <row r="49" spans="1:43" x14ac:dyDescent="0.25">
      <c r="B49" s="9">
        <v>0.93300000000000005</v>
      </c>
      <c r="C49" s="9" t="str">
        <f t="shared" si="0"/>
        <v/>
      </c>
      <c r="D49" s="9"/>
      <c r="E49" s="9">
        <v>0.21199999999999999</v>
      </c>
      <c r="F49" s="9" t="str">
        <f t="shared" si="0"/>
        <v/>
      </c>
      <c r="G49" s="9"/>
      <c r="H49" s="9">
        <v>0.51800000000000002</v>
      </c>
      <c r="I49" s="9" t="str">
        <f t="shared" si="0"/>
        <v/>
      </c>
      <c r="J49" s="9"/>
      <c r="K49" s="9">
        <v>0.70699999999999996</v>
      </c>
      <c r="L49" s="9" t="str">
        <f t="shared" si="0"/>
        <v/>
      </c>
      <c r="M49" s="9"/>
      <c r="N49" s="9"/>
      <c r="O49" s="9" t="str">
        <f t="shared" si="0"/>
        <v/>
      </c>
      <c r="P49" s="9"/>
      <c r="Q49" s="9"/>
      <c r="R49" s="9" t="str">
        <f t="shared" si="2"/>
        <v/>
      </c>
      <c r="S49" s="9"/>
      <c r="T49" s="9">
        <v>0.93400000000000005</v>
      </c>
      <c r="U49" s="9" t="str">
        <f t="shared" si="2"/>
        <v/>
      </c>
      <c r="V49" s="9"/>
      <c r="W49" s="9">
        <v>0.58399999999999996</v>
      </c>
      <c r="X49" s="9" t="str">
        <f t="shared" si="2"/>
        <v/>
      </c>
      <c r="Y49" s="9"/>
      <c r="Z49" s="9">
        <v>1.7999999999999999E-2</v>
      </c>
      <c r="AA49" s="9" t="str">
        <f t="shared" si="2"/>
        <v/>
      </c>
      <c r="AB49" s="9"/>
      <c r="AC49" s="9">
        <v>0.27200000000000002</v>
      </c>
      <c r="AD49" s="9" t="str">
        <f t="shared" si="2"/>
        <v/>
      </c>
      <c r="AE49" s="9"/>
      <c r="AF49" s="9">
        <v>0.79700000000000004</v>
      </c>
      <c r="AG49" s="9" t="str">
        <f t="shared" si="3"/>
        <v/>
      </c>
      <c r="AH49" s="9"/>
      <c r="AI49" s="9">
        <v>0.218</v>
      </c>
      <c r="AJ49" s="9" t="str">
        <f t="shared" si="3"/>
        <v/>
      </c>
      <c r="AK49" s="9"/>
      <c r="AL49" s="9"/>
      <c r="AM49" s="9" t="str">
        <f t="shared" si="3"/>
        <v/>
      </c>
      <c r="AN49" s="9"/>
      <c r="AO49" s="9"/>
      <c r="AP49" s="9" t="str">
        <f t="shared" si="3"/>
        <v/>
      </c>
      <c r="AQ49" s="9"/>
    </row>
    <row r="50" spans="1:43" x14ac:dyDescent="0.25">
      <c r="A50" t="s">
        <v>45</v>
      </c>
      <c r="B50" s="9">
        <v>0.2452</v>
      </c>
      <c r="C50" s="9" t="str">
        <f t="shared" si="0"/>
        <v>***</v>
      </c>
      <c r="D50" s="9" t="s">
        <v>247</v>
      </c>
      <c r="E50" s="9">
        <v>0.2999</v>
      </c>
      <c r="F50" s="9" t="str">
        <f t="shared" si="0"/>
        <v>***</v>
      </c>
      <c r="G50" s="9" t="str">
        <f>+CONCATENATE(ROUND(E50,3), " ",F50)</f>
        <v>0,3 ***</v>
      </c>
      <c r="H50" s="9">
        <v>0.36849999999999999</v>
      </c>
      <c r="I50" s="9" t="str">
        <f t="shared" si="0"/>
        <v>***</v>
      </c>
      <c r="J50" s="9" t="str">
        <f>+CONCATENATE(ROUND(H50,3), " ",I50)</f>
        <v>0,369 ***</v>
      </c>
      <c r="K50" s="9">
        <v>0.33650000000000002</v>
      </c>
      <c r="L50" s="9" t="str">
        <f t="shared" si="0"/>
        <v>***</v>
      </c>
      <c r="M50" s="9" t="str">
        <f>+CONCATENATE(ROUND(K50,3), " ",L50)</f>
        <v>0,337 ***</v>
      </c>
      <c r="N50" s="9"/>
      <c r="O50" s="9" t="str">
        <f t="shared" si="0"/>
        <v>***</v>
      </c>
      <c r="P50" s="9" t="str">
        <f>+CONCATENATE(ROUND(N50,3), " ",O50)</f>
        <v>0 ***</v>
      </c>
      <c r="Q50" s="9"/>
      <c r="R50" s="9" t="str">
        <f t="shared" si="2"/>
        <v>***</v>
      </c>
      <c r="S50" s="9" t="str">
        <f>+CONCATENATE(ROUND(Q50,3), " ",R50)</f>
        <v>0 ***</v>
      </c>
      <c r="T50" s="9"/>
      <c r="U50" s="9" t="str">
        <f t="shared" si="2"/>
        <v>***</v>
      </c>
      <c r="V50" s="9" t="str">
        <f>+CONCATENATE(ROUND(T50,3), " ",U50)</f>
        <v>0 ***</v>
      </c>
      <c r="W50" s="9"/>
      <c r="X50" s="9" t="str">
        <f t="shared" si="2"/>
        <v>***</v>
      </c>
      <c r="Y50" s="9" t="str">
        <f>+CONCATENATE(ROUND(W50,3), " ",X50)</f>
        <v>0 ***</v>
      </c>
      <c r="Z50" s="9">
        <v>1.2847</v>
      </c>
      <c r="AA50" s="9" t="str">
        <f t="shared" si="2"/>
        <v>***</v>
      </c>
      <c r="AB50" s="9" t="str">
        <f>+CONCATENATE(ROUND(Z50,3), " ",AA50)</f>
        <v>1,285 ***</v>
      </c>
      <c r="AC50" s="9">
        <v>0.78700000000000003</v>
      </c>
      <c r="AD50" s="9" t="str">
        <f t="shared" si="2"/>
        <v>***</v>
      </c>
      <c r="AE50" s="9" t="str">
        <f>+CONCATENATE(ROUND(AC50,3), " ",AD50)</f>
        <v>0,787 ***</v>
      </c>
      <c r="AF50" s="9">
        <v>0.28320000000000001</v>
      </c>
      <c r="AG50" s="9" t="str">
        <f t="shared" si="3"/>
        <v>***</v>
      </c>
      <c r="AH50" s="9" t="str">
        <f>+CONCATENATE(ROUND(AF50,3), " ",AG50)</f>
        <v>0,283 ***</v>
      </c>
      <c r="AI50" s="9">
        <v>0.3352</v>
      </c>
      <c r="AJ50" s="9" t="str">
        <f t="shared" si="3"/>
        <v>***</v>
      </c>
      <c r="AK50" s="9" t="str">
        <f>+CONCATENATE(ROUND(AI50,3), " ",AJ50)</f>
        <v>0,335 ***</v>
      </c>
      <c r="AL50" s="9"/>
      <c r="AM50" s="9" t="str">
        <f t="shared" si="3"/>
        <v>***</v>
      </c>
      <c r="AN50" s="9" t="str">
        <f>+CONCATENATE(ROUND(AL50,3), " ",AM50)</f>
        <v>0 ***</v>
      </c>
      <c r="AO50" s="9"/>
      <c r="AP50" s="9" t="str">
        <f t="shared" si="3"/>
        <v>***</v>
      </c>
      <c r="AQ50" s="9" t="str">
        <f>+CONCATENATE(ROUND(AO50,3), " ",AP50)</f>
        <v>0 ***</v>
      </c>
    </row>
    <row r="51" spans="1:43" x14ac:dyDescent="0.25">
      <c r="B51" s="9">
        <v>7.4999999999999997E-2</v>
      </c>
      <c r="C51" s="9" t="str">
        <f t="shared" si="0"/>
        <v/>
      </c>
      <c r="D51" s="9" t="s">
        <v>248</v>
      </c>
      <c r="E51" s="9">
        <v>7.0999999999999994E-2</v>
      </c>
      <c r="F51" s="9" t="str">
        <f t="shared" si="0"/>
        <v/>
      </c>
      <c r="G51" s="9" t="str">
        <f>+CONCATENATE("(",ROUND(E51,3),")")</f>
        <v>(0,071)</v>
      </c>
      <c r="H51" s="9">
        <v>8.5000000000000006E-2</v>
      </c>
      <c r="I51" s="9" t="str">
        <f t="shared" si="0"/>
        <v/>
      </c>
      <c r="J51" s="9" t="str">
        <f>+CONCATENATE("(",ROUND(H51,3),")")</f>
        <v>(0,085)</v>
      </c>
      <c r="K51" s="9">
        <v>0.08</v>
      </c>
      <c r="L51" s="9" t="str">
        <f t="shared" si="0"/>
        <v/>
      </c>
      <c r="M51" s="9" t="str">
        <f>+CONCATENATE("(",ROUND(K51,3),")")</f>
        <v>(0,08)</v>
      </c>
      <c r="N51" s="9"/>
      <c r="O51" s="9" t="str">
        <f t="shared" si="0"/>
        <v/>
      </c>
      <c r="P51" s="9" t="str">
        <f>+CONCATENATE("(",ROUND(N51,3),")")</f>
        <v>(0)</v>
      </c>
      <c r="Q51" s="9"/>
      <c r="R51" s="9" t="str">
        <f t="shared" si="2"/>
        <v/>
      </c>
      <c r="S51" s="9" t="str">
        <f>+CONCATENATE("(",ROUND(Q51,3),")")</f>
        <v>(0)</v>
      </c>
      <c r="T51" s="9"/>
      <c r="U51" s="9" t="str">
        <f t="shared" si="2"/>
        <v/>
      </c>
      <c r="V51" s="9" t="str">
        <f>+CONCATENATE("(",ROUND(T51,3),")")</f>
        <v>(0)</v>
      </c>
      <c r="W51" s="9"/>
      <c r="X51" s="9" t="str">
        <f t="shared" si="2"/>
        <v/>
      </c>
      <c r="Y51" s="9" t="str">
        <f>+CONCATENATE("(",ROUND(W51,3),")")</f>
        <v>(0)</v>
      </c>
      <c r="Z51" s="9">
        <v>0.183</v>
      </c>
      <c r="AA51" s="9" t="str">
        <f t="shared" si="2"/>
        <v/>
      </c>
      <c r="AB51" s="9" t="str">
        <f>+CONCATENATE("(",ROUND(Z51,3),")")</f>
        <v>(0,183)</v>
      </c>
      <c r="AC51" s="9">
        <v>0.189</v>
      </c>
      <c r="AD51" s="9" t="str">
        <f t="shared" si="2"/>
        <v/>
      </c>
      <c r="AE51" s="9" t="str">
        <f>+CONCATENATE("(",ROUND(AC51,3),")")</f>
        <v>(0,189)</v>
      </c>
      <c r="AF51" s="9">
        <v>7.3999999999999996E-2</v>
      </c>
      <c r="AG51" s="9" t="str">
        <f t="shared" si="3"/>
        <v/>
      </c>
      <c r="AH51" s="9" t="str">
        <f>+CONCATENATE("(",ROUND(AF51,3),")")</f>
        <v>(0,074)</v>
      </c>
      <c r="AI51" s="9">
        <v>7.0000000000000007E-2</v>
      </c>
      <c r="AJ51" s="9" t="str">
        <f t="shared" si="3"/>
        <v/>
      </c>
      <c r="AK51" s="9" t="str">
        <f>+CONCATENATE("(",ROUND(AI51,3),")")</f>
        <v>(0,07)</v>
      </c>
      <c r="AL51" s="9"/>
      <c r="AM51" s="9" t="str">
        <f t="shared" si="3"/>
        <v/>
      </c>
      <c r="AN51" s="9" t="str">
        <f>+CONCATENATE("(",ROUND(AL51,3),")")</f>
        <v>(0)</v>
      </c>
      <c r="AO51" s="9"/>
      <c r="AP51" s="9" t="str">
        <f t="shared" si="3"/>
        <v/>
      </c>
      <c r="AQ51" s="9" t="str">
        <f>+CONCATENATE("(",ROUND(AO51,3),")")</f>
        <v>(0)</v>
      </c>
    </row>
    <row r="52" spans="1:43" x14ac:dyDescent="0.25">
      <c r="B52" s="9">
        <v>1E-3</v>
      </c>
      <c r="C52" s="9" t="str">
        <f t="shared" si="0"/>
        <v/>
      </c>
      <c r="D52" s="9"/>
      <c r="E52" s="9">
        <v>0</v>
      </c>
      <c r="F52" s="9" t="str">
        <f t="shared" si="0"/>
        <v/>
      </c>
      <c r="G52" s="9"/>
      <c r="H52" s="9">
        <v>0</v>
      </c>
      <c r="I52" s="9" t="str">
        <f t="shared" si="0"/>
        <v/>
      </c>
      <c r="J52" s="9"/>
      <c r="K52" s="9">
        <v>0</v>
      </c>
      <c r="L52" s="9" t="str">
        <f t="shared" si="0"/>
        <v/>
      </c>
      <c r="M52" s="9"/>
      <c r="N52" s="9"/>
      <c r="O52" s="9" t="str">
        <f t="shared" si="0"/>
        <v/>
      </c>
      <c r="P52" s="9"/>
      <c r="Q52" s="9"/>
      <c r="R52" s="9" t="str">
        <f t="shared" si="2"/>
        <v/>
      </c>
      <c r="S52" s="9"/>
      <c r="T52" s="9"/>
      <c r="U52" s="9" t="str">
        <f t="shared" si="2"/>
        <v/>
      </c>
      <c r="V52" s="9"/>
      <c r="W52" s="9"/>
      <c r="X52" s="9" t="str">
        <f t="shared" si="2"/>
        <v/>
      </c>
      <c r="Y52" s="9"/>
      <c r="Z52" s="9">
        <v>0</v>
      </c>
      <c r="AA52" s="9" t="str">
        <f t="shared" si="2"/>
        <v/>
      </c>
      <c r="AB52" s="9"/>
      <c r="AC52" s="9">
        <v>0</v>
      </c>
      <c r="AD52" s="9" t="str">
        <f t="shared" si="2"/>
        <v/>
      </c>
      <c r="AE52" s="9"/>
      <c r="AF52" s="9">
        <v>0</v>
      </c>
      <c r="AG52" s="9" t="str">
        <f t="shared" si="3"/>
        <v/>
      </c>
      <c r="AH52" s="9"/>
      <c r="AI52" s="9">
        <v>0</v>
      </c>
      <c r="AJ52" s="9" t="str">
        <f t="shared" si="3"/>
        <v/>
      </c>
      <c r="AK52" s="9"/>
      <c r="AL52" s="9"/>
      <c r="AM52" s="9" t="str">
        <f t="shared" si="3"/>
        <v/>
      </c>
      <c r="AN52" s="9"/>
      <c r="AO52" s="9"/>
      <c r="AP52" s="9" t="str">
        <f t="shared" si="3"/>
        <v/>
      </c>
      <c r="AQ52" s="9"/>
    </row>
    <row r="53" spans="1:43" x14ac:dyDescent="0.25">
      <c r="A53" t="s">
        <v>46</v>
      </c>
      <c r="B53" s="9">
        <v>-2.6678999999999999</v>
      </c>
      <c r="C53" s="9" t="str">
        <f t="shared" si="0"/>
        <v>**</v>
      </c>
      <c r="D53" s="9" t="str">
        <f>+CONCATENATE(ROUND(B53,3), " ",C53)</f>
        <v>-2,668 **</v>
      </c>
      <c r="E53" s="9">
        <v>-4.4855</v>
      </c>
      <c r="F53" s="9" t="str">
        <f t="shared" si="0"/>
        <v>***</v>
      </c>
      <c r="G53" s="9" t="str">
        <f>+CONCATENATE(ROUND(E53,3), " ",F53)</f>
        <v>-4,486 ***</v>
      </c>
      <c r="H53" s="9"/>
      <c r="I53" s="9" t="str">
        <f t="shared" si="0"/>
        <v>***</v>
      </c>
      <c r="J53" s="9" t="str">
        <f>+CONCATENATE(ROUND(H53,3), " ",I53)</f>
        <v>0 ***</v>
      </c>
      <c r="K53" s="9"/>
      <c r="L53" s="9" t="str">
        <f t="shared" si="0"/>
        <v>***</v>
      </c>
      <c r="M53" s="9" t="str">
        <f>+CONCATENATE(ROUND(K53,3), " ",L53)</f>
        <v>0 ***</v>
      </c>
      <c r="N53" s="9"/>
      <c r="O53" s="9" t="str">
        <f t="shared" si="0"/>
        <v>***</v>
      </c>
      <c r="P53" s="9" t="str">
        <f>+CONCATENATE(ROUND(N53,3), " ",O53)</f>
        <v>0 ***</v>
      </c>
      <c r="Q53" s="9"/>
      <c r="R53" s="9" t="str">
        <f t="shared" si="2"/>
        <v>***</v>
      </c>
      <c r="S53" s="9" t="str">
        <f>+CONCATENATE(ROUND(Q53,3), " ",R53)</f>
        <v>0 ***</v>
      </c>
      <c r="T53" s="9">
        <v>-15.0321</v>
      </c>
      <c r="U53" s="9" t="str">
        <f t="shared" si="2"/>
        <v>***</v>
      </c>
      <c r="V53" s="9" t="str">
        <f>+CONCATENATE(ROUND(T53,3), " ",U53)</f>
        <v>-15,032 ***</v>
      </c>
      <c r="W53" s="9">
        <v>-12.325799999999999</v>
      </c>
      <c r="X53" s="9" t="str">
        <f t="shared" si="2"/>
        <v>***</v>
      </c>
      <c r="Y53" s="9" t="str">
        <f>+CONCATENATE(ROUND(W53,3), " ",X53)</f>
        <v>-12,326 ***</v>
      </c>
      <c r="Z53" s="9"/>
      <c r="AA53" s="9" t="str">
        <f t="shared" si="2"/>
        <v>***</v>
      </c>
      <c r="AB53" s="9" t="str">
        <f>+CONCATENATE(ROUND(Z53,3), " ",AA53)</f>
        <v>0 ***</v>
      </c>
      <c r="AC53" s="9"/>
      <c r="AD53" s="9" t="str">
        <f t="shared" si="2"/>
        <v>***</v>
      </c>
      <c r="AE53" s="9" t="str">
        <f>+CONCATENATE(ROUND(AC53,3), " ",AD53)</f>
        <v>0 ***</v>
      </c>
      <c r="AF53" s="9">
        <v>-2.4615</v>
      </c>
      <c r="AG53" s="9" t="str">
        <f t="shared" si="3"/>
        <v>*</v>
      </c>
      <c r="AH53" s="9" t="str">
        <f>+CONCATENATE(ROUND(AF53,3), " ",AG53)</f>
        <v>-2,462 *</v>
      </c>
      <c r="AI53" s="9">
        <v>-4.0481999999999996</v>
      </c>
      <c r="AJ53" s="9" t="str">
        <f t="shared" si="3"/>
        <v>***</v>
      </c>
      <c r="AK53" s="9" t="str">
        <f>+CONCATENATE(ROUND(AI53,3), " ",AJ53)</f>
        <v>-4,048 ***</v>
      </c>
      <c r="AL53" s="9"/>
      <c r="AM53" s="9" t="str">
        <f t="shared" si="3"/>
        <v>***</v>
      </c>
      <c r="AN53" s="9" t="str">
        <f>+CONCATENATE(ROUND(AL53,3), " ",AM53)</f>
        <v>0 ***</v>
      </c>
      <c r="AO53" s="9"/>
      <c r="AP53" s="9" t="str">
        <f t="shared" si="3"/>
        <v>***</v>
      </c>
      <c r="AQ53" s="9" t="str">
        <f>+CONCATENATE(ROUND(AO53,3), " ",AP53)</f>
        <v>0 ***</v>
      </c>
    </row>
    <row r="54" spans="1:43" x14ac:dyDescent="0.25">
      <c r="B54" s="9">
        <v>1.2529999999999999</v>
      </c>
      <c r="C54" s="9" t="str">
        <f t="shared" si="0"/>
        <v/>
      </c>
      <c r="D54" s="9" t="str">
        <f>+CONCATENATE("(",ROUND(B54,3),")")</f>
        <v>(1,253)</v>
      </c>
      <c r="E54" s="9">
        <v>1.2749999999999999</v>
      </c>
      <c r="F54" s="9" t="str">
        <f t="shared" si="0"/>
        <v/>
      </c>
      <c r="G54" s="9" t="str">
        <f>+CONCATENATE("(",ROUND(E54,3),")")</f>
        <v>(1,275)</v>
      </c>
      <c r="H54" s="9"/>
      <c r="I54" s="9" t="str">
        <f t="shared" si="0"/>
        <v/>
      </c>
      <c r="J54" s="9" t="str">
        <f>+CONCATENATE("(",ROUND(H54,3),")")</f>
        <v>(0)</v>
      </c>
      <c r="K54" s="9"/>
      <c r="L54" s="9" t="str">
        <f t="shared" si="0"/>
        <v/>
      </c>
      <c r="M54" s="9" t="str">
        <f>+CONCATENATE("(",ROUND(K54,3),")")</f>
        <v>(0)</v>
      </c>
      <c r="N54" s="9"/>
      <c r="O54" s="9" t="str">
        <f t="shared" si="0"/>
        <v/>
      </c>
      <c r="P54" s="9" t="str">
        <f>+CONCATENATE("(",ROUND(N54,3),")")</f>
        <v>(0)</v>
      </c>
      <c r="Q54" s="9"/>
      <c r="R54" s="9" t="str">
        <f t="shared" si="2"/>
        <v/>
      </c>
      <c r="S54" s="9" t="str">
        <f>+CONCATENATE("(",ROUND(Q54,3),")")</f>
        <v>(0)</v>
      </c>
      <c r="T54" s="9">
        <v>3.0419999999999998</v>
      </c>
      <c r="U54" s="9" t="str">
        <f t="shared" si="2"/>
        <v/>
      </c>
      <c r="V54" s="9" t="str">
        <f>+CONCATENATE("(",ROUND(T54,3),")")</f>
        <v>(3,042)</v>
      </c>
      <c r="W54" s="9">
        <v>3.218</v>
      </c>
      <c r="X54" s="9" t="str">
        <f t="shared" si="2"/>
        <v/>
      </c>
      <c r="Y54" s="9" t="str">
        <f>+CONCATENATE("(",ROUND(W54,3),")")</f>
        <v>(3,218)</v>
      </c>
      <c r="Z54" s="9"/>
      <c r="AA54" s="9" t="str">
        <f t="shared" si="2"/>
        <v/>
      </c>
      <c r="AB54" s="9" t="str">
        <f>+CONCATENATE("(",ROUND(Z54,3),")")</f>
        <v>(0)</v>
      </c>
      <c r="AC54" s="9"/>
      <c r="AD54" s="9" t="str">
        <f t="shared" si="2"/>
        <v/>
      </c>
      <c r="AE54" s="9" t="str">
        <f>+CONCATENATE("(",ROUND(AC54,3),")")</f>
        <v>(0)</v>
      </c>
      <c r="AF54" s="9">
        <v>1.2529999999999999</v>
      </c>
      <c r="AG54" s="9" t="str">
        <f t="shared" si="3"/>
        <v/>
      </c>
      <c r="AH54" s="9" t="str">
        <f>+CONCATENATE("(",ROUND(AF54,3),")")</f>
        <v>(1,253)</v>
      </c>
      <c r="AI54" s="9">
        <v>1.2749999999999999</v>
      </c>
      <c r="AJ54" s="9" t="str">
        <f t="shared" si="3"/>
        <v/>
      </c>
      <c r="AK54" s="9" t="str">
        <f>+CONCATENATE("(",ROUND(AI54,3),")")</f>
        <v>(1,275)</v>
      </c>
      <c r="AL54" s="9"/>
      <c r="AM54" s="9" t="str">
        <f t="shared" si="3"/>
        <v/>
      </c>
      <c r="AN54" s="9" t="str">
        <f>+CONCATENATE("(",ROUND(AL54,3),")")</f>
        <v>(0)</v>
      </c>
      <c r="AO54" s="9"/>
      <c r="AP54" s="9" t="str">
        <f t="shared" si="3"/>
        <v/>
      </c>
      <c r="AQ54" s="9" t="str">
        <f>+CONCATENATE("(",ROUND(AO54,3),")")</f>
        <v>(0)</v>
      </c>
    </row>
    <row r="55" spans="1:43" x14ac:dyDescent="0.25">
      <c r="B55" s="9">
        <v>3.4000000000000002E-2</v>
      </c>
      <c r="C55" s="9" t="str">
        <f t="shared" si="0"/>
        <v/>
      </c>
      <c r="D55" s="9"/>
      <c r="E55" s="9">
        <v>0</v>
      </c>
      <c r="F55" s="9" t="str">
        <f t="shared" si="0"/>
        <v/>
      </c>
      <c r="G55" s="9"/>
      <c r="H55" s="9"/>
      <c r="I55" s="9" t="str">
        <f t="shared" si="0"/>
        <v/>
      </c>
      <c r="J55" s="9"/>
      <c r="K55" s="9"/>
      <c r="L55" s="9" t="str">
        <f t="shared" si="0"/>
        <v/>
      </c>
      <c r="M55" s="9"/>
      <c r="N55" s="9"/>
      <c r="O55" s="9" t="str">
        <f t="shared" si="0"/>
        <v/>
      </c>
      <c r="P55" s="9"/>
      <c r="Q55" s="9"/>
      <c r="R55" s="9" t="str">
        <f t="shared" si="2"/>
        <v/>
      </c>
      <c r="S55" s="9"/>
      <c r="T55" s="9">
        <v>0</v>
      </c>
      <c r="U55" s="9" t="str">
        <f t="shared" si="2"/>
        <v/>
      </c>
      <c r="V55" s="9"/>
      <c r="W55" s="9">
        <v>0</v>
      </c>
      <c r="X55" s="9" t="str">
        <f t="shared" si="2"/>
        <v/>
      </c>
      <c r="Y55" s="9"/>
      <c r="Z55" s="9"/>
      <c r="AA55" s="9" t="str">
        <f t="shared" si="2"/>
        <v/>
      </c>
      <c r="AB55" s="9"/>
      <c r="AC55" s="9"/>
      <c r="AD55" s="9" t="str">
        <f t="shared" si="2"/>
        <v/>
      </c>
      <c r="AE55" s="9"/>
      <c r="AF55" s="9">
        <v>0.05</v>
      </c>
      <c r="AG55" s="9" t="str">
        <f t="shared" si="3"/>
        <v/>
      </c>
      <c r="AH55" s="9"/>
      <c r="AI55" s="9">
        <v>2E-3</v>
      </c>
      <c r="AJ55" s="9" t="str">
        <f t="shared" si="3"/>
        <v/>
      </c>
      <c r="AK55" s="9"/>
      <c r="AL55" s="9"/>
      <c r="AM55" s="9" t="str">
        <f t="shared" si="3"/>
        <v/>
      </c>
      <c r="AN55" s="9"/>
      <c r="AO55" s="9"/>
      <c r="AP55" s="9" t="str">
        <f t="shared" si="3"/>
        <v/>
      </c>
      <c r="AQ55" s="9"/>
    </row>
    <row r="56" spans="1:43" x14ac:dyDescent="0.25">
      <c r="A56" t="s">
        <v>47</v>
      </c>
      <c r="B56" s="9">
        <v>-2.9999999999999997E-4</v>
      </c>
      <c r="C56" s="9" t="str">
        <f t="shared" si="0"/>
        <v>**</v>
      </c>
      <c r="D56" s="9" t="str">
        <f>+CONCATENATE(ROUND(B56,3), " ",C56)</f>
        <v>0 **</v>
      </c>
      <c r="E56" s="9">
        <v>-2.0000000000000001E-4</v>
      </c>
      <c r="F56" s="9" t="str">
        <f t="shared" si="0"/>
        <v/>
      </c>
      <c r="G56" s="9" t="str">
        <f>+CONCATENATE(ROUND(E56,3), " ",F56)</f>
        <v xml:space="preserve">0 </v>
      </c>
      <c r="H56" s="9"/>
      <c r="I56" s="9" t="str">
        <f t="shared" si="0"/>
        <v>***</v>
      </c>
      <c r="J56" s="9" t="str">
        <f>+CONCATENATE(ROUND(H56,3), " ",I56)</f>
        <v>0 ***</v>
      </c>
      <c r="K56" s="9"/>
      <c r="L56" s="9" t="str">
        <f t="shared" si="0"/>
        <v>***</v>
      </c>
      <c r="M56" s="9" t="str">
        <f>+CONCATENATE(ROUND(K56,3), " ",L56)</f>
        <v>0 ***</v>
      </c>
      <c r="N56" s="9">
        <v>-2.9999999999999997E-4</v>
      </c>
      <c r="O56" s="9" t="str">
        <f t="shared" si="0"/>
        <v>*</v>
      </c>
      <c r="P56" s="9" t="str">
        <f>+CONCATENATE(ROUND(N56,3), " ",O56)</f>
        <v>0 *</v>
      </c>
      <c r="Q56" s="9">
        <v>-7.5989999999999996E-5</v>
      </c>
      <c r="R56" s="9" t="str">
        <f t="shared" si="2"/>
        <v/>
      </c>
      <c r="S56" s="9" t="str">
        <f>+CONCATENATE(ROUND(Q56,3), " ",R56)</f>
        <v xml:space="preserve">0 </v>
      </c>
      <c r="T56" s="9">
        <v>5.9999999999999995E-4</v>
      </c>
      <c r="U56" s="9" t="str">
        <f t="shared" si="2"/>
        <v>*</v>
      </c>
      <c r="V56" s="9" t="str">
        <f>+CONCATENATE(ROUND(T56,3), " ",U56)</f>
        <v>0,001 *</v>
      </c>
      <c r="W56" s="9">
        <v>8.9999999999999998E-4</v>
      </c>
      <c r="X56" s="9" t="str">
        <f t="shared" si="2"/>
        <v>***</v>
      </c>
      <c r="Y56" s="9" t="str">
        <f>+CONCATENATE(ROUND(W56,3), " ",X56)</f>
        <v>0,001 ***</v>
      </c>
      <c r="Z56" s="9"/>
      <c r="AA56" s="9" t="str">
        <f t="shared" si="2"/>
        <v>***</v>
      </c>
      <c r="AB56" s="9" t="str">
        <f>+CONCATENATE(ROUND(Z56,3), " ",AA56)</f>
        <v>0 ***</v>
      </c>
      <c r="AC56" s="9"/>
      <c r="AD56" s="9" t="str">
        <f t="shared" si="2"/>
        <v>***</v>
      </c>
      <c r="AE56" s="9" t="str">
        <f>+CONCATENATE(ROUND(AC56,3), " ",AD56)</f>
        <v>0 ***</v>
      </c>
      <c r="AF56" s="9"/>
      <c r="AG56" s="9" t="str">
        <f t="shared" si="3"/>
        <v>***</v>
      </c>
      <c r="AH56" s="9" t="str">
        <f>+CONCATENATE(ROUND(AF56,3), " ",AG56)</f>
        <v>0 ***</v>
      </c>
      <c r="AI56" s="9"/>
      <c r="AJ56" s="9" t="str">
        <f t="shared" si="3"/>
        <v>***</v>
      </c>
      <c r="AK56" s="9" t="str">
        <f>+CONCATENATE(ROUND(AI56,3), " ",AJ56)</f>
        <v>0 ***</v>
      </c>
      <c r="AL56" s="9"/>
      <c r="AM56" s="9" t="str">
        <f t="shared" si="3"/>
        <v>***</v>
      </c>
      <c r="AN56" s="9" t="str">
        <f>+CONCATENATE(ROUND(AL56,3), " ",AM56)</f>
        <v>0 ***</v>
      </c>
      <c r="AO56" s="9"/>
      <c r="AP56" s="9" t="str">
        <f t="shared" si="3"/>
        <v>***</v>
      </c>
      <c r="AQ56" s="9" t="str">
        <f>+CONCATENATE(ROUND(AO56,3), " ",AP56)</f>
        <v>0 ***</v>
      </c>
    </row>
    <row r="57" spans="1:43" x14ac:dyDescent="0.25">
      <c r="B57" s="9">
        <v>0</v>
      </c>
      <c r="C57" s="9" t="str">
        <f t="shared" si="0"/>
        <v/>
      </c>
      <c r="D57" s="9" t="str">
        <f>+CONCATENATE("(",ROUND(B57,3),")")</f>
        <v>(0)</v>
      </c>
      <c r="E57" s="9">
        <v>0</v>
      </c>
      <c r="F57" s="9" t="str">
        <f t="shared" si="0"/>
        <v/>
      </c>
      <c r="G57" s="9" t="str">
        <f>+CONCATENATE("(",ROUND(E57,3),")")</f>
        <v>(0)</v>
      </c>
      <c r="H57" s="9"/>
      <c r="I57" s="9" t="str">
        <f t="shared" si="0"/>
        <v/>
      </c>
      <c r="J57" s="9" t="str">
        <f>+CONCATENATE("(",ROUND(H57,3),")")</f>
        <v>(0)</v>
      </c>
      <c r="K57" s="9"/>
      <c r="L57" s="9" t="str">
        <f t="shared" si="0"/>
        <v/>
      </c>
      <c r="M57" s="9" t="str">
        <f>+CONCATENATE("(",ROUND(K57,3),")")</f>
        <v>(0)</v>
      </c>
      <c r="N57" s="9">
        <v>0</v>
      </c>
      <c r="O57" s="9" t="str">
        <f t="shared" si="0"/>
        <v/>
      </c>
      <c r="P57" s="9" t="str">
        <f>+CONCATENATE("(",ROUND(N57,3),")")</f>
        <v>(0)</v>
      </c>
      <c r="Q57" s="9">
        <v>0</v>
      </c>
      <c r="R57" s="9" t="str">
        <f t="shared" si="2"/>
        <v/>
      </c>
      <c r="S57" s="9" t="str">
        <f>+CONCATENATE("(",ROUND(Q57,3),")")</f>
        <v>(0)</v>
      </c>
      <c r="T57" s="9">
        <v>0</v>
      </c>
      <c r="U57" s="9" t="str">
        <f t="shared" si="2"/>
        <v/>
      </c>
      <c r="V57" s="9" t="str">
        <f>+CONCATENATE("(",ROUND(T57,3),")")</f>
        <v>(0)</v>
      </c>
      <c r="W57" s="9">
        <v>0</v>
      </c>
      <c r="X57" s="9" t="str">
        <f t="shared" si="2"/>
        <v/>
      </c>
      <c r="Y57" s="9" t="str">
        <f>+CONCATENATE("(",ROUND(W57,3),")")</f>
        <v>(0)</v>
      </c>
      <c r="Z57" s="9"/>
      <c r="AA57" s="9" t="str">
        <f t="shared" si="2"/>
        <v/>
      </c>
      <c r="AB57" s="9" t="str">
        <f>+CONCATENATE("(",ROUND(Z57,3),")")</f>
        <v>(0)</v>
      </c>
      <c r="AC57" s="9"/>
      <c r="AD57" s="9" t="str">
        <f t="shared" si="2"/>
        <v/>
      </c>
      <c r="AE57" s="9" t="str">
        <f>+CONCATENATE("(",ROUND(AC57,3),")")</f>
        <v>(0)</v>
      </c>
      <c r="AF57" s="9"/>
      <c r="AG57" s="9" t="str">
        <f t="shared" si="3"/>
        <v/>
      </c>
      <c r="AH57" s="9" t="str">
        <f>+CONCATENATE("(",ROUND(AF57,3),")")</f>
        <v>(0)</v>
      </c>
      <c r="AI57" s="9"/>
      <c r="AJ57" s="9" t="str">
        <f t="shared" si="3"/>
        <v/>
      </c>
      <c r="AK57" s="9" t="str">
        <f>+CONCATENATE("(",ROUND(AI57,3),")")</f>
        <v>(0)</v>
      </c>
      <c r="AL57" s="9"/>
      <c r="AM57" s="9" t="str">
        <f t="shared" si="3"/>
        <v/>
      </c>
      <c r="AN57" s="9" t="str">
        <f>+CONCATENATE("(",ROUND(AL57,3),")")</f>
        <v>(0)</v>
      </c>
      <c r="AO57" s="9"/>
      <c r="AP57" s="9" t="str">
        <f t="shared" si="3"/>
        <v/>
      </c>
      <c r="AQ57" s="9" t="str">
        <f>+CONCATENATE("(",ROUND(AO57,3),")")</f>
        <v>(0)</v>
      </c>
    </row>
    <row r="58" spans="1:43" x14ac:dyDescent="0.25">
      <c r="A58" s="3"/>
      <c r="B58" s="10">
        <v>2.1999999999999999E-2</v>
      </c>
      <c r="C58" s="9" t="str">
        <f t="shared" si="0"/>
        <v/>
      </c>
      <c r="D58" s="9"/>
      <c r="E58" s="10">
        <v>0.153</v>
      </c>
      <c r="F58" s="9" t="str">
        <f t="shared" si="0"/>
        <v/>
      </c>
      <c r="G58" s="9"/>
      <c r="H58" s="10"/>
      <c r="I58" s="9" t="str">
        <f t="shared" si="0"/>
        <v/>
      </c>
      <c r="J58" s="9"/>
      <c r="K58" s="10"/>
      <c r="L58" s="9" t="str">
        <f t="shared" si="0"/>
        <v/>
      </c>
      <c r="M58" s="9"/>
      <c r="N58" s="10">
        <v>0.06</v>
      </c>
      <c r="O58" s="9" t="str">
        <f t="shared" si="0"/>
        <v/>
      </c>
      <c r="P58" s="9"/>
      <c r="Q58" s="10">
        <v>0.59699999999999998</v>
      </c>
      <c r="R58" s="9" t="str">
        <f t="shared" si="2"/>
        <v/>
      </c>
      <c r="S58" s="9"/>
      <c r="T58" s="10">
        <v>9.2999999999999999E-2</v>
      </c>
      <c r="U58" s="9" t="str">
        <f t="shared" si="2"/>
        <v/>
      </c>
      <c r="V58" s="9"/>
      <c r="W58" s="10">
        <v>7.0000000000000001E-3</v>
      </c>
      <c r="X58" s="9" t="str">
        <f t="shared" si="2"/>
        <v/>
      </c>
      <c r="Y58" s="9"/>
      <c r="Z58" s="10"/>
      <c r="AA58" s="9" t="str">
        <f t="shared" si="2"/>
        <v/>
      </c>
      <c r="AB58" s="9"/>
      <c r="AC58" s="10"/>
      <c r="AD58" s="9" t="str">
        <f t="shared" si="2"/>
        <v/>
      </c>
      <c r="AE58" s="9"/>
      <c r="AF58" s="10"/>
      <c r="AG58" s="9" t="str">
        <f t="shared" si="3"/>
        <v/>
      </c>
      <c r="AH58" s="9"/>
      <c r="AI58" s="10"/>
      <c r="AJ58" s="9" t="str">
        <f t="shared" si="3"/>
        <v/>
      </c>
      <c r="AK58" s="9"/>
      <c r="AL58" s="10"/>
      <c r="AM58" s="9" t="str">
        <f t="shared" si="3"/>
        <v/>
      </c>
      <c r="AN58" s="9"/>
      <c r="AO58" s="10"/>
      <c r="AP58" s="9" t="str">
        <f t="shared" si="3"/>
        <v/>
      </c>
      <c r="AQ58" s="9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 t="s">
        <v>21</v>
      </c>
      <c r="B60" s="4" t="s">
        <v>22</v>
      </c>
      <c r="C60" s="4"/>
      <c r="D60" s="4"/>
      <c r="E60" s="4" t="s">
        <v>23</v>
      </c>
      <c r="F60" s="4"/>
      <c r="G60" s="4"/>
      <c r="H60" s="4" t="s">
        <v>22</v>
      </c>
      <c r="I60" s="4"/>
      <c r="J60" s="4"/>
      <c r="K60" s="4" t="s">
        <v>23</v>
      </c>
      <c r="L60" s="4"/>
      <c r="M60" s="4"/>
      <c r="N60" s="4" t="s">
        <v>22</v>
      </c>
      <c r="O60" s="4"/>
      <c r="P60" s="4"/>
      <c r="Q60" s="4" t="s">
        <v>23</v>
      </c>
      <c r="R60" s="4"/>
      <c r="S60" s="4"/>
      <c r="T60" s="4" t="s">
        <v>22</v>
      </c>
      <c r="U60" s="4"/>
      <c r="V60" s="4"/>
      <c r="W60" s="4" t="s">
        <v>23</v>
      </c>
      <c r="X60" s="4"/>
      <c r="Y60" s="4"/>
      <c r="Z60" s="4" t="s">
        <v>22</v>
      </c>
      <c r="AA60" s="4"/>
      <c r="AB60" s="4"/>
      <c r="AC60" s="4" t="s">
        <v>23</v>
      </c>
      <c r="AD60" s="4"/>
      <c r="AE60" s="4"/>
      <c r="AF60" s="4" t="s">
        <v>22</v>
      </c>
      <c r="AG60" s="4"/>
      <c r="AH60" s="4"/>
      <c r="AI60" s="4" t="s">
        <v>23</v>
      </c>
      <c r="AJ60" s="4"/>
      <c r="AK60" s="4"/>
      <c r="AL60" s="4" t="s">
        <v>22</v>
      </c>
      <c r="AM60" s="4"/>
      <c r="AN60" s="4"/>
      <c r="AO60" s="4" t="s">
        <v>23</v>
      </c>
      <c r="AP60" s="4"/>
      <c r="AQ60" s="4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x14ac:dyDescent="0.25">
      <c r="A62" t="s">
        <v>24</v>
      </c>
      <c r="B62" s="5">
        <v>478.13</v>
      </c>
      <c r="C62" s="5"/>
      <c r="D62" s="5"/>
      <c r="E62" s="5">
        <v>69.55</v>
      </c>
      <c r="F62" s="5"/>
      <c r="G62" s="5"/>
      <c r="H62" s="5">
        <v>82.87</v>
      </c>
      <c r="I62" s="5"/>
      <c r="J62" s="5"/>
      <c r="K62" s="5">
        <v>64.239999999999995</v>
      </c>
      <c r="L62" s="5"/>
      <c r="M62" s="5"/>
      <c r="N62" s="5">
        <v>39.409999999999997</v>
      </c>
      <c r="O62" s="5"/>
      <c r="P62" s="5"/>
      <c r="Q62" s="5">
        <v>9.24</v>
      </c>
      <c r="R62" s="5"/>
      <c r="S62" s="5"/>
      <c r="T62" s="5">
        <v>218.62</v>
      </c>
      <c r="U62" s="5"/>
      <c r="V62" s="5"/>
      <c r="W62" s="5">
        <v>16.3</v>
      </c>
      <c r="X62" s="5"/>
      <c r="Y62" s="5"/>
      <c r="Z62" s="5">
        <v>40.44</v>
      </c>
      <c r="AA62" s="5"/>
      <c r="AB62" s="5"/>
      <c r="AC62" s="5">
        <v>58.94</v>
      </c>
      <c r="AD62" s="5"/>
      <c r="AE62" s="5"/>
      <c r="AF62" s="5">
        <v>795.28</v>
      </c>
      <c r="AG62" s="5"/>
      <c r="AH62" s="5"/>
      <c r="AI62" s="5">
        <v>72.58</v>
      </c>
      <c r="AJ62" s="5"/>
      <c r="AK62" s="5"/>
      <c r="AL62" s="5">
        <v>38.950000000000003</v>
      </c>
      <c r="AM62" s="5"/>
      <c r="AN62" s="5"/>
      <c r="AO62" s="5">
        <v>9.41</v>
      </c>
      <c r="AP62" s="5"/>
      <c r="AQ62" s="5"/>
    </row>
    <row r="63" spans="1:43" x14ac:dyDescent="0.25">
      <c r="A63" t="s">
        <v>25</v>
      </c>
      <c r="B63" s="5">
        <v>2984.78</v>
      </c>
      <c r="C63" s="5"/>
      <c r="D63" s="5"/>
      <c r="E63" s="5">
        <v>267.14999999999998</v>
      </c>
      <c r="F63" s="5"/>
      <c r="G63" s="5"/>
      <c r="H63" s="5">
        <v>186.9</v>
      </c>
      <c r="I63" s="5"/>
      <c r="J63" s="5"/>
      <c r="K63" s="5">
        <v>184.36</v>
      </c>
      <c r="L63" s="5"/>
      <c r="M63" s="5"/>
      <c r="N63" s="5">
        <v>146.97999999999999</v>
      </c>
      <c r="O63" s="5"/>
      <c r="P63" s="5"/>
      <c r="Q63" s="5">
        <v>22.42</v>
      </c>
      <c r="R63" s="5"/>
      <c r="S63" s="5"/>
      <c r="T63" s="5">
        <v>1219.24</v>
      </c>
      <c r="U63" s="5"/>
      <c r="V63" s="5"/>
      <c r="W63" s="5">
        <v>127.23</v>
      </c>
      <c r="X63" s="5"/>
      <c r="Y63" s="5"/>
      <c r="Z63" s="5">
        <v>194</v>
      </c>
      <c r="AA63" s="5"/>
      <c r="AB63" s="5"/>
      <c r="AC63" s="5">
        <v>186.43</v>
      </c>
      <c r="AD63" s="5"/>
      <c r="AE63" s="5"/>
      <c r="AF63" s="5">
        <v>2731.12</v>
      </c>
      <c r="AG63" s="5"/>
      <c r="AH63" s="5"/>
      <c r="AI63" s="5">
        <v>249.18</v>
      </c>
      <c r="AJ63" s="5"/>
      <c r="AK63" s="5"/>
      <c r="AL63" s="5">
        <v>144.77000000000001</v>
      </c>
      <c r="AM63" s="5"/>
      <c r="AN63" s="5"/>
      <c r="AO63" s="5">
        <v>22.87</v>
      </c>
      <c r="AP63" s="5"/>
      <c r="AQ63" s="5"/>
    </row>
    <row r="64" spans="1:43" x14ac:dyDescent="0.25">
      <c r="A64" t="s">
        <v>26</v>
      </c>
      <c r="B64" s="6">
        <v>0.6470588235294118</v>
      </c>
      <c r="C64" s="6"/>
      <c r="D64" s="6"/>
      <c r="E64" s="6">
        <v>0.7142857142857143</v>
      </c>
      <c r="F64" s="6"/>
      <c r="G64" s="6"/>
      <c r="H64" s="6">
        <v>0.625</v>
      </c>
      <c r="I64" s="6"/>
      <c r="J64" s="6"/>
      <c r="K64" s="6">
        <v>0.81818181818181823</v>
      </c>
      <c r="L64" s="6"/>
      <c r="M64" s="6"/>
      <c r="N64" s="6">
        <v>0.5</v>
      </c>
      <c r="O64" s="6"/>
      <c r="P64" s="6"/>
      <c r="Q64" s="6">
        <v>0.69696969696969702</v>
      </c>
      <c r="R64" s="6"/>
      <c r="S64" s="6"/>
      <c r="T64" s="6">
        <v>0.63636363636363635</v>
      </c>
      <c r="U64" s="6"/>
      <c r="V64" s="6"/>
      <c r="W64" s="6">
        <v>0.63888888888888884</v>
      </c>
      <c r="X64" s="6"/>
      <c r="Y64" s="6"/>
      <c r="Z64" s="6">
        <v>0.45454545454545447</v>
      </c>
      <c r="AA64" s="6"/>
      <c r="AB64" s="6"/>
      <c r="AC64" s="6">
        <v>0.69444444444444442</v>
      </c>
      <c r="AD64" s="6"/>
      <c r="AE64" s="6"/>
      <c r="AF64" s="6">
        <v>0.77777777777777779</v>
      </c>
      <c r="AG64" s="6"/>
      <c r="AH64" s="6"/>
      <c r="AI64" s="6">
        <v>0.88235294117647056</v>
      </c>
      <c r="AJ64" s="6"/>
      <c r="AK64" s="6"/>
      <c r="AL64" s="6">
        <v>0.5</v>
      </c>
      <c r="AM64" s="6"/>
      <c r="AN64" s="6"/>
      <c r="AO64" s="6">
        <v>0.69696969696969702</v>
      </c>
      <c r="AP64" s="6"/>
      <c r="AQ64" s="6"/>
    </row>
    <row r="65" spans="1:43" x14ac:dyDescent="0.25">
      <c r="A65" s="3" t="s">
        <v>27</v>
      </c>
      <c r="B65" s="7">
        <v>0.23529411764705879</v>
      </c>
      <c r="C65" s="7"/>
      <c r="D65" s="7"/>
      <c r="E65" s="7">
        <v>0.47619047619047622</v>
      </c>
      <c r="F65" s="7"/>
      <c r="G65" s="7"/>
      <c r="H65" s="7">
        <v>0.5</v>
      </c>
      <c r="I65" s="7"/>
      <c r="J65" s="7"/>
      <c r="K65" s="7">
        <v>0.54545454545454541</v>
      </c>
      <c r="L65" s="7"/>
      <c r="M65" s="7"/>
      <c r="N65" s="7">
        <v>0.25</v>
      </c>
      <c r="O65" s="7"/>
      <c r="P65" s="7"/>
      <c r="Q65" s="7">
        <v>0.51515151515151514</v>
      </c>
      <c r="R65" s="7"/>
      <c r="S65" s="7"/>
      <c r="T65" s="7">
        <v>0.1818181818181818</v>
      </c>
      <c r="U65" s="7"/>
      <c r="V65" s="7"/>
      <c r="W65" s="7">
        <v>0.22222222222222221</v>
      </c>
      <c r="X65" s="7"/>
      <c r="Y65" s="7"/>
      <c r="Z65" s="7">
        <v>0.1818181818181818</v>
      </c>
      <c r="AA65" s="7"/>
      <c r="AB65" s="7"/>
      <c r="AC65" s="7">
        <v>0.52777777777777779</v>
      </c>
      <c r="AD65" s="7"/>
      <c r="AE65" s="7"/>
      <c r="AF65" s="7">
        <v>0.44444444444444442</v>
      </c>
      <c r="AG65" s="7"/>
      <c r="AH65" s="7"/>
      <c r="AI65" s="7">
        <v>0.44117647058823528</v>
      </c>
      <c r="AJ65" s="7"/>
      <c r="AK65" s="7"/>
      <c r="AL65" s="7">
        <v>0.25</v>
      </c>
      <c r="AM65" s="7"/>
      <c r="AN65" s="7"/>
      <c r="AO65" s="7">
        <v>0.54545454545454541</v>
      </c>
      <c r="AP65" s="7"/>
      <c r="AQ65" s="7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D65"/>
  <sheetViews>
    <sheetView workbookViewId="0">
      <selection activeCell="D1" sqref="D1:D1048576"/>
    </sheetView>
  </sheetViews>
  <sheetFormatPr baseColWidth="10" defaultColWidth="9.140625" defaultRowHeight="15" x14ac:dyDescent="0.25"/>
  <cols>
    <col min="1" max="1" width="76.85546875" bestFit="1" customWidth="1"/>
    <col min="3" max="4" width="10.7109375" customWidth="1"/>
    <col min="6" max="6" width="10.7109375" customWidth="1"/>
    <col min="8" max="8" width="10.7109375" customWidth="1"/>
    <col min="10" max="10" width="10.7109375" customWidth="1"/>
    <col min="12" max="12" width="10.7109375" customWidth="1"/>
    <col min="14" max="14" width="10.7109375" customWidth="1"/>
    <col min="16" max="16" width="10.7109375" customWidth="1"/>
    <col min="18" max="18" width="10.7109375" customWidth="1"/>
    <col min="20" max="20" width="10.7109375" customWidth="1"/>
    <col min="22" max="22" width="10.7109375" customWidth="1"/>
    <col min="24" max="24" width="10.7109375" customWidth="1"/>
    <col min="26" max="26" width="10.7109375" customWidth="1"/>
    <col min="28" max="28" width="10.7109375" customWidth="1"/>
    <col min="30" max="30" width="10.7109375" customWidth="1"/>
  </cols>
  <sheetData>
    <row r="1" spans="1:30" x14ac:dyDescent="0.25">
      <c r="A1" s="12" t="s">
        <v>0</v>
      </c>
      <c r="B1" s="1" t="s">
        <v>1</v>
      </c>
      <c r="C1" s="1"/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  <c r="M1" s="1" t="s">
        <v>6</v>
      </c>
      <c r="N1" s="1"/>
      <c r="O1" s="1" t="s">
        <v>7</v>
      </c>
      <c r="P1" s="1"/>
      <c r="Q1" s="1" t="s">
        <v>8</v>
      </c>
      <c r="R1" s="1"/>
      <c r="S1" s="1" t="s">
        <v>9</v>
      </c>
      <c r="T1" s="1"/>
      <c r="U1" s="1" t="s">
        <v>10</v>
      </c>
      <c r="V1" s="1"/>
      <c r="W1" s="1" t="s">
        <v>11</v>
      </c>
      <c r="X1" s="1"/>
      <c r="Y1" s="1" t="s">
        <v>12</v>
      </c>
      <c r="Z1" s="1"/>
      <c r="AA1" s="1" t="s">
        <v>13</v>
      </c>
      <c r="AB1" s="1"/>
      <c r="AC1" s="1" t="s">
        <v>14</v>
      </c>
      <c r="AD1" s="1"/>
    </row>
    <row r="2" spans="1:30" x14ac:dyDescent="0.25">
      <c r="A2" s="2" t="s">
        <v>15</v>
      </c>
      <c r="B2" s="4" t="s">
        <v>29</v>
      </c>
      <c r="C2" s="4"/>
      <c r="D2" s="4"/>
      <c r="E2" s="4" t="s">
        <v>29</v>
      </c>
      <c r="F2" s="4"/>
      <c r="G2" s="4" t="s">
        <v>29</v>
      </c>
      <c r="H2" s="4"/>
      <c r="I2" s="4" t="s">
        <v>29</v>
      </c>
      <c r="J2" s="4"/>
      <c r="K2" s="4" t="s">
        <v>29</v>
      </c>
      <c r="L2" s="4"/>
      <c r="M2" s="4" t="s">
        <v>29</v>
      </c>
      <c r="N2" s="4"/>
      <c r="O2" s="4" t="s">
        <v>29</v>
      </c>
      <c r="P2" s="4"/>
      <c r="Q2" s="4" t="s">
        <v>29</v>
      </c>
      <c r="R2" s="4"/>
      <c r="S2" s="4" t="s">
        <v>29</v>
      </c>
      <c r="T2" s="4"/>
      <c r="U2" s="4" t="s">
        <v>29</v>
      </c>
      <c r="V2" s="4"/>
      <c r="W2" s="4" t="s">
        <v>29</v>
      </c>
      <c r="X2" s="4"/>
      <c r="Y2" s="4" t="s">
        <v>29</v>
      </c>
      <c r="Z2" s="4"/>
      <c r="AA2" s="4" t="s">
        <v>29</v>
      </c>
      <c r="AB2" s="4"/>
      <c r="AC2" s="4" t="s">
        <v>29</v>
      </c>
      <c r="AD2" s="4"/>
    </row>
    <row r="3" spans="1:3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t="s">
        <v>17</v>
      </c>
      <c r="B4" s="8" t="s">
        <v>18</v>
      </c>
      <c r="C4" s="8"/>
      <c r="D4" s="8"/>
      <c r="E4" s="8" t="s">
        <v>18</v>
      </c>
      <c r="F4" s="8"/>
      <c r="G4" s="8" t="s">
        <v>18</v>
      </c>
      <c r="H4" s="8"/>
      <c r="I4" s="8" t="s">
        <v>18</v>
      </c>
      <c r="J4" s="8"/>
      <c r="K4" s="8" t="s">
        <v>18</v>
      </c>
      <c r="L4" s="8"/>
      <c r="M4" s="8" t="s">
        <v>18</v>
      </c>
      <c r="N4" s="8"/>
      <c r="O4" s="8" t="s">
        <v>18</v>
      </c>
      <c r="P4" s="8"/>
      <c r="Q4" s="8" t="s">
        <v>18</v>
      </c>
      <c r="R4" s="8"/>
      <c r="S4" s="8" t="s">
        <v>18</v>
      </c>
      <c r="T4" s="8"/>
      <c r="U4" s="8" t="s">
        <v>18</v>
      </c>
      <c r="V4" s="8"/>
      <c r="W4" s="8" t="s">
        <v>18</v>
      </c>
      <c r="X4" s="8"/>
      <c r="Y4" s="8" t="s">
        <v>18</v>
      </c>
      <c r="Z4" s="8"/>
      <c r="AA4" s="8" t="s">
        <v>18</v>
      </c>
      <c r="AB4" s="8"/>
      <c r="AC4" s="8" t="s">
        <v>18</v>
      </c>
      <c r="AD4" s="8"/>
    </row>
    <row r="5" spans="1:30" x14ac:dyDescent="0.25">
      <c r="A5" t="s">
        <v>19</v>
      </c>
      <c r="B5" s="6">
        <v>0.871</v>
      </c>
      <c r="C5" s="6"/>
      <c r="D5" s="6"/>
      <c r="E5" s="6">
        <v>0.88900000000000001</v>
      </c>
      <c r="F5" s="6"/>
      <c r="G5" s="6">
        <v>0.82399999999999995</v>
      </c>
      <c r="H5" s="6"/>
      <c r="I5" s="6">
        <v>0.85199999999999998</v>
      </c>
      <c r="J5" s="6"/>
      <c r="K5" s="6">
        <v>0.81499999999999995</v>
      </c>
      <c r="L5" s="6"/>
      <c r="M5" s="6">
        <v>0.84599999999999997</v>
      </c>
      <c r="N5" s="6"/>
      <c r="O5" s="6">
        <v>0.436</v>
      </c>
      <c r="P5" s="6"/>
      <c r="Q5" s="6">
        <v>0.55400000000000005</v>
      </c>
      <c r="R5" s="6"/>
      <c r="S5" s="6">
        <v>0.38300000000000001</v>
      </c>
      <c r="T5" s="6"/>
      <c r="U5" s="6">
        <v>0.497</v>
      </c>
      <c r="V5" s="6"/>
      <c r="W5" s="6">
        <v>0.86799999999999999</v>
      </c>
      <c r="X5" s="6"/>
      <c r="Y5" s="6">
        <v>0.88600000000000001</v>
      </c>
      <c r="Z5" s="6"/>
      <c r="AA5" s="6">
        <v>0.80900000000000005</v>
      </c>
      <c r="AB5" s="6"/>
      <c r="AC5" s="6">
        <v>0.84199999999999997</v>
      </c>
      <c r="AD5" s="6"/>
    </row>
    <row r="6" spans="1:30" x14ac:dyDescent="0.25">
      <c r="A6" s="3" t="s">
        <v>20</v>
      </c>
      <c r="B6" s="7">
        <v>0.86599999999999999</v>
      </c>
      <c r="C6" s="7"/>
      <c r="D6" s="7"/>
      <c r="E6" s="7">
        <v>0.877</v>
      </c>
      <c r="F6" s="7"/>
      <c r="G6" s="7">
        <v>0.82099999999999995</v>
      </c>
      <c r="H6" s="7"/>
      <c r="I6" s="7">
        <v>0.84099999999999997</v>
      </c>
      <c r="J6" s="7"/>
      <c r="K6" s="7">
        <v>0.81200000000000006</v>
      </c>
      <c r="L6" s="7"/>
      <c r="M6" s="7">
        <v>0.83399999999999996</v>
      </c>
      <c r="N6" s="7"/>
      <c r="O6" s="7">
        <v>0.42199999999999999</v>
      </c>
      <c r="P6" s="7"/>
      <c r="Q6" s="7">
        <v>0.51500000000000001</v>
      </c>
      <c r="R6" s="7"/>
      <c r="S6" s="7">
        <v>0.36799999999999999</v>
      </c>
      <c r="T6" s="7"/>
      <c r="U6" s="7">
        <v>0.45300000000000001</v>
      </c>
      <c r="V6" s="7"/>
      <c r="W6" s="7">
        <v>0.86499999999999999</v>
      </c>
      <c r="X6" s="7"/>
      <c r="Y6" s="7">
        <v>0.877</v>
      </c>
      <c r="Z6" s="7"/>
      <c r="AA6" s="7">
        <v>0.80600000000000005</v>
      </c>
      <c r="AB6" s="7"/>
      <c r="AC6" s="7">
        <v>0.82899999999999996</v>
      </c>
      <c r="AD6" s="7"/>
    </row>
    <row r="7" spans="1:3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13" t="s">
        <v>31</v>
      </c>
      <c r="B8" s="9">
        <v>-4.58E-2</v>
      </c>
      <c r="C8" s="9" t="str">
        <f>+IF($A8&lt;&gt;"",IF(B10&lt;0.01,"***",IF(B10&lt;0.05,"**",IF(B10&lt;0.1,"*",""))),"")</f>
        <v>***</v>
      </c>
      <c r="D8" s="9" t="str">
        <f>+CONCATENATE(ROUND(B8,3), " ",C8)</f>
        <v>-0,046 ***</v>
      </c>
      <c r="E8" s="9">
        <v>-5.1999999999999998E-2</v>
      </c>
      <c r="F8" s="9" t="str">
        <f>+IF($A8&lt;&gt;"",IF(E10&lt;0.01,"***",IF(E10&lt;0.05,"**",IF(E10&lt;0.1,"*",""))),"")</f>
        <v>***</v>
      </c>
      <c r="G8" s="9">
        <v>-5.6300000000000003E-2</v>
      </c>
      <c r="H8" s="9" t="str">
        <f>+IF($A8&lt;&gt;"",IF(G10&lt;0.01,"***",IF(G10&lt;0.05,"**",IF(G10&lt;0.1,"*",""))),"")</f>
        <v>***</v>
      </c>
      <c r="I8" s="9">
        <v>-5.04E-2</v>
      </c>
      <c r="J8" s="9" t="str">
        <f>+IF($A8&lt;&gt;"",IF(I10&lt;0.01,"***",IF(I10&lt;0.05,"**",IF(I10&lt;0.1,"*",""))),"")</f>
        <v>***</v>
      </c>
      <c r="K8" s="9">
        <v>-1.8499999999999999E-2</v>
      </c>
      <c r="L8" s="9" t="str">
        <f>+IF($A8&lt;&gt;"",IF(K10&lt;0.01,"***",IF(K10&lt;0.05,"**",IF(K10&lt;0.1,"*",""))),"")</f>
        <v>***</v>
      </c>
      <c r="M8" s="9">
        <v>-2.0299999999999999E-2</v>
      </c>
      <c r="N8" s="9" t="str">
        <f>+IF($A8&lt;&gt;"",IF(M10&lt;0.01,"***",IF(M10&lt;0.05,"**",IF(M10&lt;0.1,"*",""))),"")</f>
        <v>***</v>
      </c>
      <c r="O8" s="9">
        <v>-1.6299999999999999E-2</v>
      </c>
      <c r="P8" s="9" t="str">
        <f>+IF($A8&lt;&gt;"",IF(O10&lt;0.01,"***",IF(O10&lt;0.05,"**",IF(O10&lt;0.1,"*",""))),"")</f>
        <v>*</v>
      </c>
      <c r="Q8" s="9">
        <v>-1.9800000000000002E-2</v>
      </c>
      <c r="R8" s="9" t="str">
        <f>+IF($A8&lt;&gt;"",IF(Q10&lt;0.01,"***",IF(Q10&lt;0.05,"**",IF(Q10&lt;0.1,"*",""))),"")</f>
        <v>**</v>
      </c>
      <c r="S8" s="9">
        <v>-0.1517</v>
      </c>
      <c r="T8" s="9" t="str">
        <f>+IF($A8&lt;&gt;"",IF(S10&lt;0.01,"***",IF(S10&lt;0.05,"**",IF(S10&lt;0.1,"*",""))),"")</f>
        <v>***</v>
      </c>
      <c r="U8" s="9">
        <v>-9.6500000000000002E-2</v>
      </c>
      <c r="V8" s="9" t="str">
        <f>+IF($A8&lt;&gt;"",IF(U10&lt;0.01,"***",IF(U10&lt;0.05,"**",IF(U10&lt;0.1,"*",""))),"")</f>
        <v>***</v>
      </c>
      <c r="W8" s="9">
        <v>-5.2400000000000002E-2</v>
      </c>
      <c r="X8" s="9" t="str">
        <f>+IF($A8&lt;&gt;"",IF(W10&lt;0.01,"***",IF(W10&lt;0.05,"**",IF(W10&lt;0.1,"*",""))),"")</f>
        <v>***</v>
      </c>
      <c r="Y8" s="9">
        <v>-6.1899999999999997E-2</v>
      </c>
      <c r="Z8" s="9" t="str">
        <f>+IF($A8&lt;&gt;"",IF(Y10&lt;0.01,"***",IF(Y10&lt;0.05,"**",IF(Y10&lt;0.1,"*",""))),"")</f>
        <v>***</v>
      </c>
      <c r="AA8" s="9">
        <v>-1.6799999999999999E-2</v>
      </c>
      <c r="AB8" s="9" t="str">
        <f>+IF($A8&lt;&gt;"",IF(AA10&lt;0.01,"***",IF(AA10&lt;0.05,"**",IF(AA10&lt;0.1,"*",""))),"")</f>
        <v>***</v>
      </c>
      <c r="AC8" s="9">
        <v>-1.8200000000000001E-2</v>
      </c>
      <c r="AD8" s="9" t="str">
        <f>+IF($A8&lt;&gt;"",IF(AC10&lt;0.01,"***",IF(AC10&lt;0.05,"**",IF(AC10&lt;0.1,"*",""))),"")</f>
        <v>***</v>
      </c>
    </row>
    <row r="9" spans="1:30" x14ac:dyDescent="0.25">
      <c r="A9" s="14"/>
      <c r="B9" s="9">
        <v>1.0999999999999999E-2</v>
      </c>
      <c r="C9" s="9" t="str">
        <f t="shared" ref="C9:N58" si="0">+IF($A9&lt;&gt;"",IF(B11&lt;0.01,"***",IF(B11&lt;0.05,"**",IF(B11&lt;0.1,"*",""))),"")</f>
        <v/>
      </c>
      <c r="D9" s="9" t="str">
        <f>+CONCATENATE("(",ROUND(B9,3),")")</f>
        <v>(0,011)</v>
      </c>
      <c r="E9" s="9">
        <v>1.0999999999999999E-2</v>
      </c>
      <c r="F9" s="9" t="str">
        <f t="shared" si="0"/>
        <v/>
      </c>
      <c r="G9" s="9">
        <v>1.2E-2</v>
      </c>
      <c r="H9" s="9" t="str">
        <f t="shared" si="0"/>
        <v/>
      </c>
      <c r="I9" s="9">
        <v>1.2E-2</v>
      </c>
      <c r="J9" s="9" t="str">
        <f t="shared" si="0"/>
        <v/>
      </c>
      <c r="K9" s="9">
        <v>5.0000000000000001E-3</v>
      </c>
      <c r="L9" s="9" t="str">
        <f t="shared" si="0"/>
        <v/>
      </c>
      <c r="M9" s="9">
        <v>4.0000000000000001E-3</v>
      </c>
      <c r="N9" s="9" t="str">
        <f t="shared" si="0"/>
        <v/>
      </c>
      <c r="O9" s="9">
        <v>8.0000000000000002E-3</v>
      </c>
      <c r="P9" s="9" t="str">
        <f t="shared" ref="P9:AD43" si="1">+IF($A9&lt;&gt;"",IF(O11&lt;0.01,"***",IF(O11&lt;0.05,"**",IF(O11&lt;0.1,"*",""))),"")</f>
        <v/>
      </c>
      <c r="Q9" s="9">
        <v>8.0000000000000002E-3</v>
      </c>
      <c r="R9" s="9" t="str">
        <f t="shared" si="1"/>
        <v/>
      </c>
      <c r="S9" s="9">
        <v>2.3E-2</v>
      </c>
      <c r="T9" s="9" t="str">
        <f t="shared" si="1"/>
        <v/>
      </c>
      <c r="U9" s="9">
        <v>2.3E-2</v>
      </c>
      <c r="V9" s="9" t="str">
        <f t="shared" si="1"/>
        <v/>
      </c>
      <c r="W9" s="9">
        <v>0.01</v>
      </c>
      <c r="X9" s="9" t="str">
        <f t="shared" si="1"/>
        <v/>
      </c>
      <c r="Y9" s="9">
        <v>0.01</v>
      </c>
      <c r="Z9" s="9" t="str">
        <f t="shared" si="1"/>
        <v/>
      </c>
      <c r="AA9" s="9">
        <v>5.0000000000000001E-3</v>
      </c>
      <c r="AB9" s="9" t="str">
        <f t="shared" si="1"/>
        <v/>
      </c>
      <c r="AC9" s="9">
        <v>4.0000000000000001E-3</v>
      </c>
      <c r="AD9" s="9" t="str">
        <f t="shared" si="1"/>
        <v/>
      </c>
    </row>
    <row r="10" spans="1:30" x14ac:dyDescent="0.25">
      <c r="A10" s="14"/>
      <c r="B10" s="9">
        <v>0</v>
      </c>
      <c r="C10" s="9" t="str">
        <f t="shared" si="0"/>
        <v/>
      </c>
      <c r="D10" s="9"/>
      <c r="E10" s="9">
        <v>0</v>
      </c>
      <c r="F10" s="9" t="str">
        <f t="shared" si="0"/>
        <v/>
      </c>
      <c r="G10" s="9">
        <v>0</v>
      </c>
      <c r="H10" s="9" t="str">
        <f t="shared" si="0"/>
        <v/>
      </c>
      <c r="I10" s="9">
        <v>0</v>
      </c>
      <c r="J10" s="9" t="str">
        <f t="shared" si="0"/>
        <v/>
      </c>
      <c r="K10" s="9">
        <v>0</v>
      </c>
      <c r="L10" s="9" t="str">
        <f t="shared" si="0"/>
        <v/>
      </c>
      <c r="M10" s="9">
        <v>0</v>
      </c>
      <c r="N10" s="9" t="str">
        <f t="shared" si="0"/>
        <v/>
      </c>
      <c r="O10" s="9">
        <v>5.2999999999999999E-2</v>
      </c>
      <c r="P10" s="9" t="str">
        <f t="shared" si="1"/>
        <v/>
      </c>
      <c r="Q10" s="9">
        <v>1.7000000000000001E-2</v>
      </c>
      <c r="R10" s="9" t="str">
        <f t="shared" si="1"/>
        <v/>
      </c>
      <c r="S10" s="9">
        <v>0</v>
      </c>
      <c r="T10" s="9" t="str">
        <f t="shared" si="1"/>
        <v/>
      </c>
      <c r="U10" s="9">
        <v>0</v>
      </c>
      <c r="V10" s="9" t="str">
        <f t="shared" si="1"/>
        <v/>
      </c>
      <c r="W10" s="9">
        <v>0</v>
      </c>
      <c r="X10" s="9" t="str">
        <f t="shared" si="1"/>
        <v/>
      </c>
      <c r="Y10" s="9">
        <v>0</v>
      </c>
      <c r="Z10" s="9" t="str">
        <f t="shared" si="1"/>
        <v/>
      </c>
      <c r="AA10" s="9">
        <v>0</v>
      </c>
      <c r="AB10" s="9" t="str">
        <f t="shared" si="1"/>
        <v/>
      </c>
      <c r="AC10" s="9">
        <v>0</v>
      </c>
      <c r="AD10" s="9" t="str">
        <f t="shared" si="1"/>
        <v/>
      </c>
    </row>
    <row r="11" spans="1:30" x14ac:dyDescent="0.25">
      <c r="A11" t="s">
        <v>32</v>
      </c>
      <c r="B11" s="9">
        <v>6.3790000000000003E-6</v>
      </c>
      <c r="C11" s="9" t="str">
        <f t="shared" si="0"/>
        <v>**</v>
      </c>
      <c r="D11" s="9" t="str">
        <f>+CONCATENATE(ROUND(B11,3), " ",C11)</f>
        <v>0 **</v>
      </c>
      <c r="E11" s="9">
        <v>5.2460000000000003E-6</v>
      </c>
      <c r="F11" s="9" t="str">
        <f t="shared" si="0"/>
        <v/>
      </c>
      <c r="G11" s="9">
        <v>1.6500000000000001E-5</v>
      </c>
      <c r="H11" s="9" t="str">
        <f t="shared" si="0"/>
        <v>***</v>
      </c>
      <c r="I11" s="9">
        <v>1.3380000000000001E-5</v>
      </c>
      <c r="J11" s="9" t="str">
        <f t="shared" si="0"/>
        <v>***</v>
      </c>
      <c r="K11" s="9">
        <v>1.5549999999999999E-5</v>
      </c>
      <c r="L11" s="9" t="str">
        <f t="shared" si="0"/>
        <v>***</v>
      </c>
      <c r="M11" s="9">
        <v>1.2310000000000001E-5</v>
      </c>
      <c r="N11" s="9" t="str">
        <f t="shared" si="0"/>
        <v>***</v>
      </c>
      <c r="O11" s="9">
        <v>4.5240000000000001E-5</v>
      </c>
      <c r="P11" s="9" t="str">
        <f t="shared" si="1"/>
        <v>***</v>
      </c>
      <c r="Q11" s="9">
        <v>4.4150000000000003E-5</v>
      </c>
      <c r="R11" s="9" t="str">
        <f t="shared" si="1"/>
        <v>***</v>
      </c>
      <c r="S11" s="9"/>
      <c r="T11" s="9" t="str">
        <f t="shared" si="1"/>
        <v>***</v>
      </c>
      <c r="U11" s="9"/>
      <c r="V11" s="9" t="str">
        <f t="shared" si="1"/>
        <v>***</v>
      </c>
      <c r="W11" s="9">
        <v>4.617E-6</v>
      </c>
      <c r="X11" s="9" t="str">
        <f t="shared" si="1"/>
        <v/>
      </c>
      <c r="Y11" s="9">
        <v>3.3730000000000001E-6</v>
      </c>
      <c r="Z11" s="9" t="str">
        <f t="shared" si="1"/>
        <v/>
      </c>
      <c r="AA11" s="9"/>
      <c r="AB11" s="9" t="str">
        <f t="shared" si="1"/>
        <v>***</v>
      </c>
      <c r="AC11" s="9"/>
      <c r="AD11" s="9" t="str">
        <f t="shared" si="1"/>
        <v>***</v>
      </c>
    </row>
    <row r="12" spans="1:30" x14ac:dyDescent="0.25">
      <c r="B12" s="9">
        <v>3.1200000000000002E-6</v>
      </c>
      <c r="C12" s="9" t="str">
        <f t="shared" si="0"/>
        <v/>
      </c>
      <c r="D12" s="9" t="str">
        <f>+CONCATENATE("(",ROUND(B12,3),")")</f>
        <v>(0)</v>
      </c>
      <c r="E12" s="9">
        <v>3.32E-6</v>
      </c>
      <c r="F12" s="9" t="str">
        <f t="shared" si="0"/>
        <v/>
      </c>
      <c r="G12" s="9">
        <v>3.27E-6</v>
      </c>
      <c r="H12" s="9" t="str">
        <f t="shared" si="0"/>
        <v/>
      </c>
      <c r="I12" s="9">
        <v>3.4999999999999999E-6</v>
      </c>
      <c r="J12" s="9" t="str">
        <f t="shared" si="0"/>
        <v/>
      </c>
      <c r="K12" s="9">
        <v>3.3900000000000002E-6</v>
      </c>
      <c r="L12" s="9" t="str">
        <f t="shared" si="0"/>
        <v/>
      </c>
      <c r="M12" s="9">
        <v>3.6100000000000002E-6</v>
      </c>
      <c r="N12" s="9" t="str">
        <f t="shared" si="0"/>
        <v/>
      </c>
      <c r="O12" s="9">
        <v>5.84E-6</v>
      </c>
      <c r="P12" s="9" t="str">
        <f t="shared" si="1"/>
        <v/>
      </c>
      <c r="Q12" s="9">
        <v>5.9900000000000002E-6</v>
      </c>
      <c r="R12" s="9" t="str">
        <f t="shared" si="1"/>
        <v/>
      </c>
      <c r="S12" s="9"/>
      <c r="T12" s="9" t="str">
        <f t="shared" si="1"/>
        <v/>
      </c>
      <c r="U12" s="9"/>
      <c r="V12" s="9" t="str">
        <f t="shared" si="1"/>
        <v/>
      </c>
      <c r="W12" s="9">
        <v>3.0199999999999999E-6</v>
      </c>
      <c r="X12" s="9" t="str">
        <f t="shared" si="1"/>
        <v/>
      </c>
      <c r="Y12" s="9">
        <v>3.2200000000000001E-6</v>
      </c>
      <c r="Z12" s="9" t="str">
        <f t="shared" si="1"/>
        <v/>
      </c>
      <c r="AA12" s="9"/>
      <c r="AB12" s="9" t="str">
        <f t="shared" si="1"/>
        <v/>
      </c>
      <c r="AC12" s="9"/>
      <c r="AD12" s="9" t="str">
        <f t="shared" si="1"/>
        <v/>
      </c>
    </row>
    <row r="13" spans="1:30" x14ac:dyDescent="0.25">
      <c r="B13" s="9">
        <v>4.1000000000000002E-2</v>
      </c>
      <c r="C13" s="9" t="str">
        <f t="shared" si="0"/>
        <v/>
      </c>
      <c r="D13" s="9"/>
      <c r="E13" s="9">
        <v>0.114</v>
      </c>
      <c r="F13" s="9" t="str">
        <f t="shared" si="0"/>
        <v/>
      </c>
      <c r="G13" s="9">
        <v>0</v>
      </c>
      <c r="H13" s="9" t="str">
        <f t="shared" si="0"/>
        <v/>
      </c>
      <c r="I13" s="9">
        <v>0</v>
      </c>
      <c r="J13" s="9" t="str">
        <f t="shared" si="0"/>
        <v/>
      </c>
      <c r="K13" s="9">
        <v>0</v>
      </c>
      <c r="L13" s="9" t="str">
        <f t="shared" si="0"/>
        <v/>
      </c>
      <c r="M13" s="9">
        <v>1E-3</v>
      </c>
      <c r="N13" s="9" t="str">
        <f t="shared" si="0"/>
        <v/>
      </c>
      <c r="O13" s="9">
        <v>0</v>
      </c>
      <c r="P13" s="9" t="str">
        <f t="shared" si="1"/>
        <v/>
      </c>
      <c r="Q13" s="9">
        <v>0</v>
      </c>
      <c r="R13" s="9" t="str">
        <f t="shared" si="1"/>
        <v/>
      </c>
      <c r="S13" s="9"/>
      <c r="T13" s="9" t="str">
        <f t="shared" si="1"/>
        <v/>
      </c>
      <c r="U13" s="9"/>
      <c r="V13" s="9" t="str">
        <f t="shared" si="1"/>
        <v/>
      </c>
      <c r="W13" s="9">
        <v>0.127</v>
      </c>
      <c r="X13" s="9" t="str">
        <f t="shared" si="1"/>
        <v/>
      </c>
      <c r="Y13" s="9">
        <v>0.29599999999999999</v>
      </c>
      <c r="Z13" s="9" t="str">
        <f t="shared" si="1"/>
        <v/>
      </c>
      <c r="AA13" s="9"/>
      <c r="AB13" s="9" t="str">
        <f t="shared" si="1"/>
        <v/>
      </c>
      <c r="AC13" s="9"/>
      <c r="AD13" s="9" t="str">
        <f t="shared" si="1"/>
        <v/>
      </c>
    </row>
    <row r="14" spans="1:30" x14ac:dyDescent="0.25">
      <c r="A14" t="s">
        <v>33</v>
      </c>
      <c r="B14" s="9">
        <v>-1.485E-5</v>
      </c>
      <c r="C14" s="9" t="str">
        <f t="shared" si="0"/>
        <v/>
      </c>
      <c r="D14" s="9" t="str">
        <f>+CONCATENATE(ROUND(B14,3), " ",C14)</f>
        <v xml:space="preserve">0 </v>
      </c>
      <c r="E14" s="9">
        <v>-1.164E-5</v>
      </c>
      <c r="F14" s="9" t="str">
        <f t="shared" si="0"/>
        <v/>
      </c>
      <c r="G14" s="9"/>
      <c r="H14" s="9" t="str">
        <f t="shared" si="0"/>
        <v>***</v>
      </c>
      <c r="I14" s="9"/>
      <c r="J14" s="9" t="str">
        <f t="shared" si="0"/>
        <v>***</v>
      </c>
      <c r="K14" s="9">
        <v>-2.0429999999999999E-5</v>
      </c>
      <c r="L14" s="9" t="str">
        <f t="shared" si="0"/>
        <v/>
      </c>
      <c r="M14" s="9">
        <v>-2.351E-5</v>
      </c>
      <c r="N14" s="9" t="str">
        <f t="shared" ref="N14:X58" si="2">+IF($A14&lt;&gt;"",IF(M16&lt;0.01,"***",IF(M16&lt;0.05,"**",IF(M16&lt;0.1,"*",""))),"")</f>
        <v/>
      </c>
      <c r="O14" s="9"/>
      <c r="P14" s="9" t="str">
        <f t="shared" si="2"/>
        <v>***</v>
      </c>
      <c r="Q14" s="9"/>
      <c r="R14" s="9" t="str">
        <f t="shared" si="2"/>
        <v>***</v>
      </c>
      <c r="S14" s="9">
        <v>-2.1909999999999999E-5</v>
      </c>
      <c r="T14" s="9" t="str">
        <f t="shared" si="2"/>
        <v/>
      </c>
      <c r="U14" s="9">
        <v>-3.2119999999999997E-5</v>
      </c>
      <c r="V14" s="9" t="str">
        <f t="shared" si="2"/>
        <v/>
      </c>
      <c r="W14" s="9"/>
      <c r="X14" s="9" t="str">
        <f t="shared" si="2"/>
        <v>***</v>
      </c>
      <c r="Y14" s="9"/>
      <c r="Z14" s="9" t="str">
        <f t="shared" si="1"/>
        <v>***</v>
      </c>
      <c r="AA14" s="9">
        <v>-1.713E-5</v>
      </c>
      <c r="AB14" s="9" t="str">
        <f t="shared" si="1"/>
        <v/>
      </c>
      <c r="AC14" s="9">
        <v>-1.5849999999999999E-5</v>
      </c>
      <c r="AD14" s="9" t="str">
        <f t="shared" si="1"/>
        <v/>
      </c>
    </row>
    <row r="15" spans="1:30" x14ac:dyDescent="0.25">
      <c r="B15" s="9">
        <v>1.4399999999999999E-5</v>
      </c>
      <c r="C15" s="9" t="str">
        <f t="shared" si="0"/>
        <v/>
      </c>
      <c r="D15" s="9" t="str">
        <f>+CONCATENATE("(",ROUND(B15,3),")")</f>
        <v>(0)</v>
      </c>
      <c r="E15" s="9">
        <v>1.43E-5</v>
      </c>
      <c r="F15" s="9" t="str">
        <f t="shared" si="0"/>
        <v/>
      </c>
      <c r="G15" s="9"/>
      <c r="H15" s="9" t="str">
        <f t="shared" si="0"/>
        <v/>
      </c>
      <c r="I15" s="9"/>
      <c r="J15" s="9" t="str">
        <f t="shared" si="0"/>
        <v/>
      </c>
      <c r="K15" s="9">
        <v>1.63E-5</v>
      </c>
      <c r="L15" s="9" t="str">
        <f t="shared" si="0"/>
        <v/>
      </c>
      <c r="M15" s="9">
        <v>1.5699999999999999E-5</v>
      </c>
      <c r="N15" s="9" t="str">
        <f t="shared" si="2"/>
        <v/>
      </c>
      <c r="O15" s="9"/>
      <c r="P15" s="9" t="str">
        <f t="shared" si="2"/>
        <v/>
      </c>
      <c r="Q15" s="9"/>
      <c r="R15" s="9" t="str">
        <f t="shared" si="2"/>
        <v/>
      </c>
      <c r="S15" s="9">
        <v>3.0599999999999998E-5</v>
      </c>
      <c r="T15" s="9" t="str">
        <f t="shared" si="2"/>
        <v/>
      </c>
      <c r="U15" s="9">
        <v>2.9499999999999999E-5</v>
      </c>
      <c r="V15" s="9" t="str">
        <f t="shared" si="2"/>
        <v/>
      </c>
      <c r="W15" s="9"/>
      <c r="X15" s="9" t="str">
        <f t="shared" si="2"/>
        <v/>
      </c>
      <c r="Y15" s="9"/>
      <c r="Z15" s="9" t="str">
        <f t="shared" si="1"/>
        <v/>
      </c>
      <c r="AA15" s="9">
        <v>1.6399999999999999E-5</v>
      </c>
      <c r="AB15" s="9" t="str">
        <f t="shared" si="1"/>
        <v/>
      </c>
      <c r="AC15" s="9">
        <v>1.59E-5</v>
      </c>
      <c r="AD15" s="9" t="str">
        <f t="shared" si="1"/>
        <v/>
      </c>
    </row>
    <row r="16" spans="1:30" x14ac:dyDescent="0.25">
      <c r="B16" s="9">
        <v>0.30199999999999999</v>
      </c>
      <c r="C16" s="9" t="str">
        <f t="shared" si="0"/>
        <v/>
      </c>
      <c r="D16" s="9"/>
      <c r="E16" s="9">
        <v>0.41499999999999998</v>
      </c>
      <c r="F16" s="9" t="str">
        <f t="shared" si="0"/>
        <v/>
      </c>
      <c r="G16" s="9"/>
      <c r="H16" s="9" t="str">
        <f t="shared" si="0"/>
        <v/>
      </c>
      <c r="I16" s="9"/>
      <c r="J16" s="9" t="str">
        <f t="shared" si="0"/>
        <v/>
      </c>
      <c r="K16" s="9">
        <v>0.21</v>
      </c>
      <c r="L16" s="9" t="str">
        <f t="shared" si="0"/>
        <v/>
      </c>
      <c r="M16" s="9">
        <v>0.13500000000000001</v>
      </c>
      <c r="N16" s="9" t="str">
        <f t="shared" si="2"/>
        <v/>
      </c>
      <c r="O16" s="9"/>
      <c r="P16" s="9" t="str">
        <f t="shared" si="2"/>
        <v/>
      </c>
      <c r="Q16" s="9"/>
      <c r="R16" s="9" t="str">
        <f t="shared" si="2"/>
        <v/>
      </c>
      <c r="S16" s="9">
        <v>0.47499999999999998</v>
      </c>
      <c r="T16" s="9" t="str">
        <f t="shared" si="2"/>
        <v/>
      </c>
      <c r="U16" s="9">
        <v>0.27700000000000002</v>
      </c>
      <c r="V16" s="9" t="str">
        <f t="shared" si="2"/>
        <v/>
      </c>
      <c r="W16" s="9"/>
      <c r="X16" s="9" t="str">
        <f t="shared" si="2"/>
        <v/>
      </c>
      <c r="Y16" s="9"/>
      <c r="Z16" s="9" t="str">
        <f t="shared" si="1"/>
        <v/>
      </c>
      <c r="AA16" s="9">
        <v>0.29799999999999999</v>
      </c>
      <c r="AB16" s="9" t="str">
        <f t="shared" si="1"/>
        <v/>
      </c>
      <c r="AC16" s="9">
        <v>0.318</v>
      </c>
      <c r="AD16" s="9" t="str">
        <f t="shared" si="1"/>
        <v/>
      </c>
    </row>
    <row r="17" spans="1:30" x14ac:dyDescent="0.25">
      <c r="A17" t="s">
        <v>34</v>
      </c>
      <c r="B17" s="9">
        <v>-6.7089999999999996E-5</v>
      </c>
      <c r="C17" s="9" t="str">
        <f t="shared" si="0"/>
        <v/>
      </c>
      <c r="D17" s="9" t="str">
        <f>+CONCATENATE(ROUND(B17,3), " ",C17)</f>
        <v xml:space="preserve">0 </v>
      </c>
      <c r="E17" s="9">
        <v>-8.0980000000000001E-5</v>
      </c>
      <c r="F17" s="9" t="str">
        <f t="shared" si="0"/>
        <v>*</v>
      </c>
      <c r="G17" s="9">
        <v>-8.9199999999999993E-6</v>
      </c>
      <c r="H17" s="9" t="str">
        <f t="shared" si="0"/>
        <v/>
      </c>
      <c r="I17" s="9">
        <v>-1.8850000000000001E-5</v>
      </c>
      <c r="J17" s="9" t="str">
        <f t="shared" si="0"/>
        <v/>
      </c>
      <c r="K17" s="9"/>
      <c r="L17" s="9" t="str">
        <f t="shared" si="0"/>
        <v>***</v>
      </c>
      <c r="M17" s="9"/>
      <c r="N17" s="9" t="str">
        <f t="shared" si="2"/>
        <v>***</v>
      </c>
      <c r="O17" s="9">
        <v>7.3549999999999999E-5</v>
      </c>
      <c r="P17" s="9" t="str">
        <f t="shared" si="2"/>
        <v/>
      </c>
      <c r="Q17" s="9">
        <v>4.1149999999999997E-5</v>
      </c>
      <c r="R17" s="9" t="str">
        <f t="shared" si="2"/>
        <v/>
      </c>
      <c r="S17" s="9">
        <v>2.0000000000000001E-4</v>
      </c>
      <c r="T17" s="9" t="str">
        <f t="shared" si="2"/>
        <v>***</v>
      </c>
      <c r="U17" s="9">
        <v>8.2960000000000005E-5</v>
      </c>
      <c r="V17" s="9" t="str">
        <f t="shared" si="2"/>
        <v/>
      </c>
      <c r="W17" s="9">
        <v>-4.9119999999999997E-5</v>
      </c>
      <c r="X17" s="9" t="str">
        <f t="shared" si="2"/>
        <v/>
      </c>
      <c r="Y17" s="9">
        <v>-6.2089999999999997E-5</v>
      </c>
      <c r="Z17" s="9" t="str">
        <f t="shared" si="1"/>
        <v/>
      </c>
      <c r="AA17" s="9"/>
      <c r="AB17" s="9" t="str">
        <f t="shared" si="1"/>
        <v>***</v>
      </c>
      <c r="AC17" s="9"/>
      <c r="AD17" s="9" t="str">
        <f t="shared" si="1"/>
        <v>***</v>
      </c>
    </row>
    <row r="18" spans="1:30" x14ac:dyDescent="0.25">
      <c r="B18" s="9">
        <v>4.2700000000000001E-5</v>
      </c>
      <c r="C18" s="9" t="str">
        <f t="shared" si="0"/>
        <v/>
      </c>
      <c r="D18" s="9" t="str">
        <f>+CONCATENATE("(",ROUND(B18,3),")")</f>
        <v>(0)</v>
      </c>
      <c r="E18" s="9">
        <v>4.6799999999999999E-5</v>
      </c>
      <c r="F18" s="9" t="str">
        <f t="shared" si="0"/>
        <v/>
      </c>
      <c r="G18" s="9">
        <v>4.4799999999999998E-5</v>
      </c>
      <c r="H18" s="9" t="str">
        <f t="shared" si="0"/>
        <v/>
      </c>
      <c r="I18" s="9">
        <v>4.8900000000000003E-5</v>
      </c>
      <c r="J18" s="9" t="str">
        <f t="shared" si="0"/>
        <v/>
      </c>
      <c r="K18" s="9"/>
      <c r="L18" s="9" t="str">
        <f t="shared" si="0"/>
        <v/>
      </c>
      <c r="M18" s="9"/>
      <c r="N18" s="9" t="str">
        <f t="shared" si="2"/>
        <v/>
      </c>
      <c r="O18" s="9">
        <v>7.8100000000000001E-5</v>
      </c>
      <c r="P18" s="9" t="str">
        <f t="shared" si="2"/>
        <v/>
      </c>
      <c r="Q18" s="9">
        <v>8.4599999999999996E-5</v>
      </c>
      <c r="R18" s="9" t="str">
        <f t="shared" si="2"/>
        <v/>
      </c>
      <c r="S18" s="9">
        <v>8.7999999999999998E-5</v>
      </c>
      <c r="T18" s="9" t="str">
        <f t="shared" si="2"/>
        <v/>
      </c>
      <c r="U18" s="9">
        <v>9.5000000000000005E-5</v>
      </c>
      <c r="V18" s="9" t="str">
        <f t="shared" si="2"/>
        <v/>
      </c>
      <c r="W18" s="9">
        <v>3.96E-5</v>
      </c>
      <c r="X18" s="9" t="str">
        <f t="shared" si="2"/>
        <v/>
      </c>
      <c r="Y18" s="9">
        <v>4.3699999999999998E-5</v>
      </c>
      <c r="Z18" s="9" t="str">
        <f t="shared" si="1"/>
        <v/>
      </c>
      <c r="AA18" s="9"/>
      <c r="AB18" s="9" t="str">
        <f t="shared" si="1"/>
        <v/>
      </c>
      <c r="AC18" s="9"/>
      <c r="AD18" s="9" t="str">
        <f t="shared" si="1"/>
        <v/>
      </c>
    </row>
    <row r="19" spans="1:30" x14ac:dyDescent="0.25">
      <c r="B19" s="9">
        <v>0.11700000000000001</v>
      </c>
      <c r="C19" s="9" t="str">
        <f t="shared" si="0"/>
        <v/>
      </c>
      <c r="D19" s="9"/>
      <c r="E19" s="9">
        <v>8.4000000000000005E-2</v>
      </c>
      <c r="F19" s="9" t="str">
        <f t="shared" si="0"/>
        <v/>
      </c>
      <c r="G19" s="9">
        <v>0.84199999999999997</v>
      </c>
      <c r="H19" s="9" t="str">
        <f t="shared" si="0"/>
        <v/>
      </c>
      <c r="I19" s="9">
        <v>0.7</v>
      </c>
      <c r="J19" s="9" t="str">
        <f t="shared" si="0"/>
        <v/>
      </c>
      <c r="K19" s="9"/>
      <c r="L19" s="9" t="str">
        <f t="shared" si="0"/>
        <v/>
      </c>
      <c r="M19" s="9"/>
      <c r="N19" s="9" t="str">
        <f t="shared" si="2"/>
        <v/>
      </c>
      <c r="O19" s="9">
        <v>0.34699999999999998</v>
      </c>
      <c r="P19" s="9" t="str">
        <f t="shared" si="2"/>
        <v/>
      </c>
      <c r="Q19" s="9">
        <v>0.627</v>
      </c>
      <c r="R19" s="9" t="str">
        <f t="shared" si="2"/>
        <v/>
      </c>
      <c r="S19" s="9">
        <v>8.0000000000000002E-3</v>
      </c>
      <c r="T19" s="9" t="str">
        <f t="shared" si="2"/>
        <v/>
      </c>
      <c r="U19" s="9">
        <v>0.38300000000000001</v>
      </c>
      <c r="V19" s="9" t="str">
        <f t="shared" si="2"/>
        <v/>
      </c>
      <c r="W19" s="9">
        <v>0.216</v>
      </c>
      <c r="X19" s="9" t="str">
        <f t="shared" si="2"/>
        <v/>
      </c>
      <c r="Y19" s="9">
        <v>0.156</v>
      </c>
      <c r="Z19" s="9" t="str">
        <f t="shared" si="1"/>
        <v/>
      </c>
      <c r="AA19" s="9"/>
      <c r="AB19" s="9" t="str">
        <f t="shared" si="1"/>
        <v/>
      </c>
      <c r="AC19" s="9"/>
      <c r="AD19" s="9" t="str">
        <f t="shared" si="1"/>
        <v/>
      </c>
    </row>
    <row r="20" spans="1:30" x14ac:dyDescent="0.25">
      <c r="A20" t="s">
        <v>35</v>
      </c>
      <c r="B20" s="9">
        <v>-3.8999999999999998E-3</v>
      </c>
      <c r="C20" s="9" t="str">
        <f t="shared" si="0"/>
        <v/>
      </c>
      <c r="D20" s="9" t="str">
        <f>+CONCATENATE(ROUND(B20,3), " ",C20)</f>
        <v xml:space="preserve">-0,004 </v>
      </c>
      <c r="E20" s="9">
        <v>-3.3999999999999998E-3</v>
      </c>
      <c r="F20" s="9" t="str">
        <f t="shared" si="0"/>
        <v/>
      </c>
      <c r="G20" s="9"/>
      <c r="H20" s="9" t="str">
        <f t="shared" si="0"/>
        <v>***</v>
      </c>
      <c r="I20" s="9"/>
      <c r="J20" s="9" t="str">
        <f t="shared" si="0"/>
        <v>***</v>
      </c>
      <c r="K20" s="9">
        <v>-7.4000000000000003E-3</v>
      </c>
      <c r="L20" s="9" t="str">
        <f t="shared" si="0"/>
        <v/>
      </c>
      <c r="M20" s="9">
        <v>-8.3000000000000001E-3</v>
      </c>
      <c r="N20" s="9" t="str">
        <f t="shared" si="2"/>
        <v/>
      </c>
      <c r="O20" s="9">
        <v>-7.6E-3</v>
      </c>
      <c r="P20" s="9" t="str">
        <f t="shared" si="2"/>
        <v/>
      </c>
      <c r="Q20" s="9">
        <v>-0.01</v>
      </c>
      <c r="R20" s="9" t="str">
        <f t="shared" si="2"/>
        <v/>
      </c>
      <c r="S20" s="9">
        <v>2.06E-2</v>
      </c>
      <c r="T20" s="9" t="str">
        <f t="shared" si="2"/>
        <v/>
      </c>
      <c r="U20" s="9">
        <v>1.2E-2</v>
      </c>
      <c r="V20" s="9" t="str">
        <f t="shared" si="2"/>
        <v/>
      </c>
      <c r="W20" s="9"/>
      <c r="X20" s="9" t="str">
        <f t="shared" si="2"/>
        <v>***</v>
      </c>
      <c r="Y20" s="9"/>
      <c r="Z20" s="9" t="str">
        <f t="shared" si="1"/>
        <v>***</v>
      </c>
      <c r="AA20" s="9">
        <v>-3.8999999999999998E-3</v>
      </c>
      <c r="AB20" s="9" t="str">
        <f t="shared" si="1"/>
        <v/>
      </c>
      <c r="AC20" s="9">
        <v>-3.3E-3</v>
      </c>
      <c r="AD20" s="9" t="str">
        <f t="shared" si="1"/>
        <v/>
      </c>
    </row>
    <row r="21" spans="1:30" x14ac:dyDescent="0.25">
      <c r="B21" s="9">
        <v>0.01</v>
      </c>
      <c r="C21" s="9" t="str">
        <f t="shared" si="0"/>
        <v/>
      </c>
      <c r="D21" s="9" t="str">
        <f>+CONCATENATE("(",ROUND(B21,3),")")</f>
        <v>(0,01)</v>
      </c>
      <c r="E21" s="9">
        <v>0.01</v>
      </c>
      <c r="F21" s="9" t="str">
        <f t="shared" si="0"/>
        <v/>
      </c>
      <c r="G21" s="9"/>
      <c r="H21" s="9" t="str">
        <f t="shared" si="0"/>
        <v/>
      </c>
      <c r="I21" s="9"/>
      <c r="J21" s="9" t="str">
        <f t="shared" si="0"/>
        <v/>
      </c>
      <c r="K21" s="9">
        <v>1.0999999999999999E-2</v>
      </c>
      <c r="L21" s="9" t="str">
        <f t="shared" si="0"/>
        <v/>
      </c>
      <c r="M21" s="9">
        <v>1.0999999999999999E-2</v>
      </c>
      <c r="N21" s="9" t="str">
        <f t="shared" si="2"/>
        <v/>
      </c>
      <c r="O21" s="9">
        <v>0.02</v>
      </c>
      <c r="P21" s="9" t="str">
        <f t="shared" si="2"/>
        <v/>
      </c>
      <c r="Q21" s="9">
        <v>1.9E-2</v>
      </c>
      <c r="R21" s="9" t="str">
        <f t="shared" si="2"/>
        <v/>
      </c>
      <c r="S21" s="9">
        <v>2.1000000000000001E-2</v>
      </c>
      <c r="T21" s="9" t="str">
        <f t="shared" si="2"/>
        <v/>
      </c>
      <c r="U21" s="9">
        <v>0.02</v>
      </c>
      <c r="V21" s="9" t="str">
        <f t="shared" si="2"/>
        <v/>
      </c>
      <c r="W21" s="9"/>
      <c r="X21" s="9" t="str">
        <f t="shared" si="2"/>
        <v/>
      </c>
      <c r="Y21" s="9"/>
      <c r="Z21" s="9" t="str">
        <f t="shared" si="1"/>
        <v/>
      </c>
      <c r="AA21" s="9">
        <v>1.0999999999999999E-2</v>
      </c>
      <c r="AB21" s="9" t="str">
        <f t="shared" si="1"/>
        <v/>
      </c>
      <c r="AC21" s="9">
        <v>1.0999999999999999E-2</v>
      </c>
      <c r="AD21" s="9" t="str">
        <f t="shared" si="1"/>
        <v/>
      </c>
    </row>
    <row r="22" spans="1:30" x14ac:dyDescent="0.25">
      <c r="B22" s="9">
        <v>0.69</v>
      </c>
      <c r="C22" s="9" t="str">
        <f t="shared" si="0"/>
        <v/>
      </c>
      <c r="D22" s="9"/>
      <c r="E22" s="9">
        <v>0.72499999999999998</v>
      </c>
      <c r="F22" s="9" t="str">
        <f t="shared" si="0"/>
        <v/>
      </c>
      <c r="G22" s="9"/>
      <c r="H22" s="9" t="str">
        <f t="shared" si="0"/>
        <v/>
      </c>
      <c r="I22" s="9"/>
      <c r="J22" s="9" t="str">
        <f t="shared" si="0"/>
        <v/>
      </c>
      <c r="K22" s="9">
        <v>0.51300000000000001</v>
      </c>
      <c r="L22" s="9" t="str">
        <f t="shared" si="0"/>
        <v/>
      </c>
      <c r="M22" s="9">
        <v>0.45500000000000002</v>
      </c>
      <c r="N22" s="9" t="str">
        <f t="shared" si="2"/>
        <v/>
      </c>
      <c r="O22" s="9">
        <v>0.70299999999999996</v>
      </c>
      <c r="P22" s="9" t="str">
        <f t="shared" si="2"/>
        <v/>
      </c>
      <c r="Q22" s="9">
        <v>0.60199999999999998</v>
      </c>
      <c r="R22" s="9" t="str">
        <f t="shared" si="2"/>
        <v/>
      </c>
      <c r="S22" s="9">
        <v>0.32400000000000001</v>
      </c>
      <c r="T22" s="9" t="str">
        <f t="shared" si="2"/>
        <v/>
      </c>
      <c r="U22" s="9">
        <v>0.55600000000000005</v>
      </c>
      <c r="V22" s="9" t="str">
        <f t="shared" si="2"/>
        <v/>
      </c>
      <c r="W22" s="9"/>
      <c r="X22" s="9" t="str">
        <f t="shared" si="2"/>
        <v/>
      </c>
      <c r="Y22" s="9"/>
      <c r="Z22" s="9" t="str">
        <f t="shared" si="1"/>
        <v/>
      </c>
      <c r="AA22" s="9">
        <v>0.73099999999999998</v>
      </c>
      <c r="AB22" s="9" t="str">
        <f t="shared" si="1"/>
        <v/>
      </c>
      <c r="AC22" s="9">
        <v>0.76900000000000002</v>
      </c>
      <c r="AD22" s="9" t="str">
        <f t="shared" si="1"/>
        <v/>
      </c>
    </row>
    <row r="23" spans="1:30" x14ac:dyDescent="0.25">
      <c r="A23" t="s">
        <v>36</v>
      </c>
      <c r="B23" s="9">
        <v>-1.8619999999999999E-6</v>
      </c>
      <c r="C23" s="9" t="str">
        <f t="shared" si="0"/>
        <v/>
      </c>
      <c r="D23" s="9" t="str">
        <f>+CONCATENATE(ROUND(B23,3), " ",C23)</f>
        <v xml:space="preserve">0 </v>
      </c>
      <c r="E23" s="9">
        <v>-1.0139999999999999E-6</v>
      </c>
      <c r="F23" s="9" t="str">
        <f t="shared" si="0"/>
        <v/>
      </c>
      <c r="G23" s="9"/>
      <c r="H23" s="9" t="str">
        <f t="shared" si="0"/>
        <v>***</v>
      </c>
      <c r="I23" s="9"/>
      <c r="J23" s="9" t="str">
        <f t="shared" si="0"/>
        <v>***</v>
      </c>
      <c r="K23" s="9"/>
      <c r="L23" s="9" t="str">
        <f t="shared" si="0"/>
        <v>***</v>
      </c>
      <c r="M23" s="9"/>
      <c r="N23" s="9" t="str">
        <f t="shared" si="2"/>
        <v>***</v>
      </c>
      <c r="O23" s="9"/>
      <c r="P23" s="9" t="str">
        <f t="shared" si="2"/>
        <v>***</v>
      </c>
      <c r="Q23" s="9"/>
      <c r="R23" s="9" t="str">
        <f t="shared" si="2"/>
        <v>***</v>
      </c>
      <c r="S23" s="9"/>
      <c r="T23" s="9" t="str">
        <f t="shared" si="2"/>
        <v>***</v>
      </c>
      <c r="U23" s="9"/>
      <c r="V23" s="9" t="str">
        <f t="shared" si="2"/>
        <v>***</v>
      </c>
      <c r="W23" s="9"/>
      <c r="X23" s="9" t="str">
        <f t="shared" si="2"/>
        <v>***</v>
      </c>
      <c r="Y23" s="9"/>
      <c r="Z23" s="9" t="str">
        <f t="shared" si="1"/>
        <v>***</v>
      </c>
      <c r="AA23" s="9">
        <v>-1.432E-6</v>
      </c>
      <c r="AB23" s="9" t="str">
        <f t="shared" si="1"/>
        <v/>
      </c>
      <c r="AC23" s="9">
        <v>-1.0449999999999999E-6</v>
      </c>
      <c r="AD23" s="9" t="str">
        <f t="shared" si="1"/>
        <v/>
      </c>
    </row>
    <row r="24" spans="1:30" x14ac:dyDescent="0.25">
      <c r="B24" s="9">
        <v>1.48E-6</v>
      </c>
      <c r="C24" s="9" t="str">
        <f t="shared" si="0"/>
        <v/>
      </c>
      <c r="D24" s="9" t="str">
        <f>+CONCATENATE("(",ROUND(B24,3),")")</f>
        <v>(0)</v>
      </c>
      <c r="E24" s="9">
        <v>1.4699999999999999E-6</v>
      </c>
      <c r="F24" s="9" t="str">
        <f t="shared" si="0"/>
        <v/>
      </c>
      <c r="G24" s="9"/>
      <c r="H24" s="9" t="str">
        <f t="shared" si="0"/>
        <v/>
      </c>
      <c r="I24" s="9"/>
      <c r="J24" s="9" t="str">
        <f t="shared" si="0"/>
        <v/>
      </c>
      <c r="K24" s="9"/>
      <c r="L24" s="9" t="str">
        <f t="shared" si="0"/>
        <v/>
      </c>
      <c r="M24" s="9"/>
      <c r="N24" s="9" t="str">
        <f t="shared" si="2"/>
        <v/>
      </c>
      <c r="O24" s="9"/>
      <c r="P24" s="9" t="str">
        <f t="shared" si="2"/>
        <v/>
      </c>
      <c r="Q24" s="9"/>
      <c r="R24" s="9" t="str">
        <f t="shared" si="2"/>
        <v/>
      </c>
      <c r="S24" s="9"/>
      <c r="T24" s="9" t="str">
        <f t="shared" si="2"/>
        <v/>
      </c>
      <c r="U24" s="9"/>
      <c r="V24" s="9" t="str">
        <f t="shared" si="2"/>
        <v/>
      </c>
      <c r="W24" s="9"/>
      <c r="X24" s="9" t="str">
        <f t="shared" si="2"/>
        <v/>
      </c>
      <c r="Y24" s="9"/>
      <c r="Z24" s="9" t="str">
        <f t="shared" si="1"/>
        <v/>
      </c>
      <c r="AA24" s="9">
        <v>1.7E-6</v>
      </c>
      <c r="AB24" s="9" t="str">
        <f t="shared" si="1"/>
        <v/>
      </c>
      <c r="AC24" s="9">
        <v>1.6500000000000001E-6</v>
      </c>
      <c r="AD24" s="9" t="str">
        <f t="shared" si="1"/>
        <v/>
      </c>
    </row>
    <row r="25" spans="1:30" x14ac:dyDescent="0.25">
      <c r="B25" s="9">
        <v>0.20899999999999999</v>
      </c>
      <c r="C25" s="9" t="str">
        <f t="shared" si="0"/>
        <v/>
      </c>
      <c r="D25" s="9"/>
      <c r="E25" s="9">
        <v>0.49</v>
      </c>
      <c r="F25" s="9" t="str">
        <f t="shared" si="0"/>
        <v/>
      </c>
      <c r="G25" s="9"/>
      <c r="H25" s="9" t="str">
        <f t="shared" si="0"/>
        <v/>
      </c>
      <c r="I25" s="9"/>
      <c r="J25" s="9" t="str">
        <f t="shared" si="0"/>
        <v/>
      </c>
      <c r="K25" s="9"/>
      <c r="L25" s="9" t="str">
        <f t="shared" si="0"/>
        <v/>
      </c>
      <c r="M25" s="9"/>
      <c r="N25" s="9" t="str">
        <f t="shared" si="2"/>
        <v/>
      </c>
      <c r="O25" s="9"/>
      <c r="P25" s="9" t="str">
        <f t="shared" si="2"/>
        <v/>
      </c>
      <c r="Q25" s="9"/>
      <c r="R25" s="9" t="str">
        <f t="shared" si="2"/>
        <v/>
      </c>
      <c r="S25" s="9"/>
      <c r="T25" s="9" t="str">
        <f t="shared" si="2"/>
        <v/>
      </c>
      <c r="U25" s="9"/>
      <c r="V25" s="9" t="str">
        <f t="shared" si="2"/>
        <v/>
      </c>
      <c r="W25" s="9"/>
      <c r="X25" s="9" t="str">
        <f t="shared" si="2"/>
        <v/>
      </c>
      <c r="Y25" s="9"/>
      <c r="Z25" s="9" t="str">
        <f t="shared" si="1"/>
        <v/>
      </c>
      <c r="AA25" s="9">
        <v>0.4</v>
      </c>
      <c r="AB25" s="9" t="str">
        <f t="shared" si="1"/>
        <v/>
      </c>
      <c r="AC25" s="9">
        <v>0.52600000000000002</v>
      </c>
      <c r="AD25" s="9" t="str">
        <f t="shared" si="1"/>
        <v/>
      </c>
    </row>
    <row r="26" spans="1:30" x14ac:dyDescent="0.25">
      <c r="A26" t="s">
        <v>37</v>
      </c>
      <c r="B26" s="9">
        <v>9.4159999999999997E-9</v>
      </c>
      <c r="C26" s="9" t="str">
        <f t="shared" si="0"/>
        <v/>
      </c>
      <c r="D26" s="9" t="str">
        <f>+CONCATENATE(ROUND(B26,3), " ",C26)</f>
        <v xml:space="preserve">0 </v>
      </c>
      <c r="E26" s="9">
        <v>9.495E-9</v>
      </c>
      <c r="F26" s="9" t="str">
        <f t="shared" si="0"/>
        <v/>
      </c>
      <c r="G26" s="9">
        <v>5.8699999999999998E-9</v>
      </c>
      <c r="H26" s="9" t="str">
        <f t="shared" si="0"/>
        <v/>
      </c>
      <c r="I26" s="9">
        <v>8.8240000000000001E-9</v>
      </c>
      <c r="J26" s="9" t="str">
        <f t="shared" si="0"/>
        <v/>
      </c>
      <c r="K26" s="9"/>
      <c r="L26" s="9" t="str">
        <f t="shared" si="0"/>
        <v>***</v>
      </c>
      <c r="M26" s="9"/>
      <c r="N26" s="9" t="str">
        <f t="shared" si="2"/>
        <v>***</v>
      </c>
      <c r="O26" s="9"/>
      <c r="P26" s="9" t="str">
        <f t="shared" si="2"/>
        <v>***</v>
      </c>
      <c r="Q26" s="9"/>
      <c r="R26" s="9" t="str">
        <f t="shared" si="2"/>
        <v>***</v>
      </c>
      <c r="S26" s="9">
        <v>-5.243E-8</v>
      </c>
      <c r="T26" s="9" t="str">
        <f t="shared" si="2"/>
        <v>***</v>
      </c>
      <c r="U26" s="9">
        <v>-4.8739999999999998E-8</v>
      </c>
      <c r="V26" s="9" t="str">
        <f t="shared" si="2"/>
        <v>***</v>
      </c>
      <c r="W26" s="9">
        <v>8.8919999999999995E-9</v>
      </c>
      <c r="X26" s="9" t="str">
        <f t="shared" si="2"/>
        <v/>
      </c>
      <c r="Y26" s="9">
        <v>8.9899999999999998E-9</v>
      </c>
      <c r="Z26" s="9" t="str">
        <f t="shared" si="1"/>
        <v/>
      </c>
      <c r="AA26" s="9">
        <v>9.4200000000000006E-10</v>
      </c>
      <c r="AB26" s="9" t="str">
        <f t="shared" si="1"/>
        <v/>
      </c>
      <c r="AC26" s="9">
        <v>3.6079999999999999E-9</v>
      </c>
      <c r="AD26" s="9" t="str">
        <f t="shared" si="1"/>
        <v/>
      </c>
    </row>
    <row r="27" spans="1:30" x14ac:dyDescent="0.25">
      <c r="B27" s="9">
        <v>6.0799999999999997E-9</v>
      </c>
      <c r="C27" s="9" t="str">
        <f t="shared" si="0"/>
        <v/>
      </c>
      <c r="D27" s="9" t="str">
        <f>+CONCATENATE("(",ROUND(B27,3),")")</f>
        <v>(0)</v>
      </c>
      <c r="E27" s="9">
        <v>6.1E-9</v>
      </c>
      <c r="F27" s="9" t="str">
        <f t="shared" si="0"/>
        <v/>
      </c>
      <c r="G27" s="9">
        <v>6.8800000000000002E-9</v>
      </c>
      <c r="H27" s="9" t="str">
        <f t="shared" si="0"/>
        <v/>
      </c>
      <c r="I27" s="9">
        <v>6.8400000000000004E-9</v>
      </c>
      <c r="J27" s="9" t="str">
        <f t="shared" si="0"/>
        <v/>
      </c>
      <c r="K27" s="9"/>
      <c r="L27" s="9" t="str">
        <f t="shared" si="0"/>
        <v/>
      </c>
      <c r="M27" s="9"/>
      <c r="N27" s="9" t="str">
        <f t="shared" si="2"/>
        <v/>
      </c>
      <c r="O27" s="9"/>
      <c r="P27" s="9" t="str">
        <f t="shared" si="2"/>
        <v/>
      </c>
      <c r="Q27" s="9"/>
      <c r="R27" s="9" t="str">
        <f t="shared" si="2"/>
        <v/>
      </c>
      <c r="S27" s="9">
        <v>1.26E-8</v>
      </c>
      <c r="T27" s="9" t="str">
        <f t="shared" si="2"/>
        <v/>
      </c>
      <c r="U27" s="9">
        <v>1.2299999999999999E-8</v>
      </c>
      <c r="V27" s="9" t="str">
        <f t="shared" si="2"/>
        <v/>
      </c>
      <c r="W27" s="9">
        <v>6.0099999999999997E-9</v>
      </c>
      <c r="X27" s="9" t="str">
        <f t="shared" si="2"/>
        <v/>
      </c>
      <c r="Y27" s="9">
        <v>6.0399999999999998E-9</v>
      </c>
      <c r="Z27" s="9" t="str">
        <f t="shared" si="1"/>
        <v/>
      </c>
      <c r="AA27" s="9">
        <v>6.0699999999999999E-9</v>
      </c>
      <c r="AB27" s="9" t="str">
        <f t="shared" si="1"/>
        <v/>
      </c>
      <c r="AC27" s="9">
        <v>6.24E-9</v>
      </c>
      <c r="AD27" s="9" t="str">
        <f t="shared" si="1"/>
        <v/>
      </c>
    </row>
    <row r="28" spans="1:30" x14ac:dyDescent="0.25">
      <c r="B28" s="9">
        <v>0.122</v>
      </c>
      <c r="C28" s="9" t="str">
        <f t="shared" si="0"/>
        <v/>
      </c>
      <c r="D28" s="9"/>
      <c r="E28" s="9">
        <v>0.12</v>
      </c>
      <c r="F28" s="9" t="str">
        <f t="shared" si="0"/>
        <v/>
      </c>
      <c r="G28" s="9">
        <v>0.39400000000000002</v>
      </c>
      <c r="H28" s="9" t="str">
        <f t="shared" si="0"/>
        <v/>
      </c>
      <c r="I28" s="9">
        <v>0.19700000000000001</v>
      </c>
      <c r="J28" s="9" t="str">
        <f t="shared" si="0"/>
        <v/>
      </c>
      <c r="K28" s="9"/>
      <c r="L28" s="9" t="str">
        <f t="shared" si="0"/>
        <v/>
      </c>
      <c r="M28" s="9"/>
      <c r="N28" s="9" t="str">
        <f t="shared" si="2"/>
        <v/>
      </c>
      <c r="O28" s="9"/>
      <c r="P28" s="9" t="str">
        <f t="shared" si="2"/>
        <v/>
      </c>
      <c r="Q28" s="9"/>
      <c r="R28" s="9" t="str">
        <f t="shared" si="2"/>
        <v/>
      </c>
      <c r="S28" s="9">
        <v>0</v>
      </c>
      <c r="T28" s="9" t="str">
        <f t="shared" si="2"/>
        <v/>
      </c>
      <c r="U28" s="9">
        <v>0</v>
      </c>
      <c r="V28" s="9" t="str">
        <f t="shared" si="2"/>
        <v/>
      </c>
      <c r="W28" s="9">
        <v>0.13900000000000001</v>
      </c>
      <c r="X28" s="9" t="str">
        <f t="shared" si="2"/>
        <v/>
      </c>
      <c r="Y28" s="9">
        <v>0.13700000000000001</v>
      </c>
      <c r="Z28" s="9" t="str">
        <f t="shared" si="1"/>
        <v/>
      </c>
      <c r="AA28" s="9">
        <v>0.877</v>
      </c>
      <c r="AB28" s="9" t="str">
        <f t="shared" si="1"/>
        <v/>
      </c>
      <c r="AC28" s="9">
        <v>0.56399999999999995</v>
      </c>
      <c r="AD28" s="9" t="str">
        <f t="shared" si="1"/>
        <v/>
      </c>
    </row>
    <row r="29" spans="1:30" x14ac:dyDescent="0.25">
      <c r="A29" t="s">
        <v>38</v>
      </c>
      <c r="B29" s="9">
        <v>-3.2800000000000003E-2</v>
      </c>
      <c r="C29" s="9" t="str">
        <f t="shared" si="0"/>
        <v>***</v>
      </c>
      <c r="D29" s="9" t="str">
        <f>+CONCATENATE(ROUND(B29,3), " ",C29)</f>
        <v>-0,033 ***</v>
      </c>
      <c r="E29" s="9">
        <v>-4.48E-2</v>
      </c>
      <c r="F29" s="9" t="str">
        <f t="shared" si="0"/>
        <v>***</v>
      </c>
      <c r="G29" s="9"/>
      <c r="H29" s="9" t="str">
        <f t="shared" si="0"/>
        <v>***</v>
      </c>
      <c r="I29" s="9"/>
      <c r="J29" s="9" t="str">
        <f t="shared" si="0"/>
        <v>***</v>
      </c>
      <c r="K29" s="9"/>
      <c r="L29" s="9" t="str">
        <f t="shared" si="0"/>
        <v>***</v>
      </c>
      <c r="M29" s="9"/>
      <c r="N29" s="9" t="str">
        <f t="shared" si="2"/>
        <v>***</v>
      </c>
      <c r="O29" s="9">
        <v>-6.08E-2</v>
      </c>
      <c r="P29" s="9" t="str">
        <f t="shared" si="2"/>
        <v>***</v>
      </c>
      <c r="Q29" s="9">
        <v>-4.3200000000000002E-2</v>
      </c>
      <c r="R29" s="9" t="str">
        <f t="shared" si="2"/>
        <v>**</v>
      </c>
      <c r="S29" s="9">
        <v>2.0400000000000001E-2</v>
      </c>
      <c r="T29" s="9" t="str">
        <f t="shared" si="2"/>
        <v>***</v>
      </c>
      <c r="U29" s="9">
        <v>2.4199999999999999E-2</v>
      </c>
      <c r="V29" s="9" t="str">
        <f t="shared" si="2"/>
        <v>***</v>
      </c>
      <c r="W29" s="9">
        <v>-3.4299999999999997E-2</v>
      </c>
      <c r="X29" s="9" t="str">
        <f t="shared" si="2"/>
        <v>***</v>
      </c>
      <c r="Y29" s="9">
        <v>-4.4699999999999997E-2</v>
      </c>
      <c r="Z29" s="9" t="str">
        <f t="shared" si="1"/>
        <v>***</v>
      </c>
      <c r="AA29" s="9"/>
      <c r="AB29" s="9" t="str">
        <f t="shared" si="1"/>
        <v>***</v>
      </c>
      <c r="AC29" s="9"/>
      <c r="AD29" s="9" t="str">
        <f t="shared" si="1"/>
        <v>***</v>
      </c>
    </row>
    <row r="30" spans="1:30" x14ac:dyDescent="0.25">
      <c r="B30" s="9">
        <v>8.0000000000000002E-3</v>
      </c>
      <c r="C30" s="9" t="str">
        <f t="shared" si="0"/>
        <v/>
      </c>
      <c r="D30" s="9" t="str">
        <f>+CONCATENATE("(",ROUND(B30,3),")")</f>
        <v>(0,008)</v>
      </c>
      <c r="E30" s="9">
        <v>8.9999999999999993E-3</v>
      </c>
      <c r="F30" s="9" t="str">
        <f t="shared" si="0"/>
        <v/>
      </c>
      <c r="G30" s="9"/>
      <c r="H30" s="9" t="str">
        <f t="shared" si="0"/>
        <v/>
      </c>
      <c r="I30" s="9"/>
      <c r="J30" s="9" t="str">
        <f t="shared" si="0"/>
        <v/>
      </c>
      <c r="K30" s="9"/>
      <c r="L30" s="9" t="str">
        <f t="shared" si="0"/>
        <v/>
      </c>
      <c r="M30" s="9"/>
      <c r="N30" s="9" t="str">
        <f t="shared" si="2"/>
        <v/>
      </c>
      <c r="O30" s="9">
        <v>1.6E-2</v>
      </c>
      <c r="P30" s="9" t="str">
        <f t="shared" si="2"/>
        <v/>
      </c>
      <c r="Q30" s="9">
        <v>1.7999999999999999E-2</v>
      </c>
      <c r="R30" s="9" t="str">
        <f t="shared" si="2"/>
        <v/>
      </c>
      <c r="S30" s="9">
        <v>2E-3</v>
      </c>
      <c r="T30" s="9" t="str">
        <f t="shared" si="2"/>
        <v/>
      </c>
      <c r="U30" s="9">
        <v>3.0000000000000001E-3</v>
      </c>
      <c r="V30" s="9" t="str">
        <f t="shared" si="2"/>
        <v/>
      </c>
      <c r="W30" s="9">
        <v>8.0000000000000002E-3</v>
      </c>
      <c r="X30" s="9" t="str">
        <f t="shared" si="2"/>
        <v/>
      </c>
      <c r="Y30" s="9">
        <v>8.9999999999999993E-3</v>
      </c>
      <c r="Z30" s="9" t="str">
        <f t="shared" si="1"/>
        <v/>
      </c>
      <c r="AA30" s="9"/>
      <c r="AB30" s="9" t="str">
        <f t="shared" si="1"/>
        <v/>
      </c>
      <c r="AC30" s="9"/>
      <c r="AD30" s="9" t="str">
        <f t="shared" si="1"/>
        <v/>
      </c>
    </row>
    <row r="31" spans="1:30" x14ac:dyDescent="0.25">
      <c r="B31" s="9">
        <v>0</v>
      </c>
      <c r="C31" s="9" t="str">
        <f t="shared" si="0"/>
        <v/>
      </c>
      <c r="D31" s="9"/>
      <c r="E31" s="9">
        <v>0</v>
      </c>
      <c r="F31" s="9" t="str">
        <f t="shared" si="0"/>
        <v/>
      </c>
      <c r="G31" s="9"/>
      <c r="H31" s="9" t="str">
        <f t="shared" si="0"/>
        <v/>
      </c>
      <c r="I31" s="9"/>
      <c r="J31" s="9" t="str">
        <f t="shared" si="0"/>
        <v/>
      </c>
      <c r="K31" s="9"/>
      <c r="L31" s="9" t="str">
        <f t="shared" si="0"/>
        <v/>
      </c>
      <c r="M31" s="9"/>
      <c r="N31" s="9" t="str">
        <f t="shared" si="2"/>
        <v/>
      </c>
      <c r="O31" s="9">
        <v>0</v>
      </c>
      <c r="P31" s="9" t="str">
        <f t="shared" si="2"/>
        <v/>
      </c>
      <c r="Q31" s="9">
        <v>1.7000000000000001E-2</v>
      </c>
      <c r="R31" s="9" t="str">
        <f t="shared" si="2"/>
        <v/>
      </c>
      <c r="S31" s="9">
        <v>0</v>
      </c>
      <c r="T31" s="9" t="str">
        <f t="shared" si="2"/>
        <v/>
      </c>
      <c r="U31" s="9">
        <v>0</v>
      </c>
      <c r="V31" s="9" t="str">
        <f t="shared" si="2"/>
        <v/>
      </c>
      <c r="W31" s="9">
        <v>0</v>
      </c>
      <c r="X31" s="9" t="str">
        <f t="shared" si="2"/>
        <v/>
      </c>
      <c r="Y31" s="9">
        <v>0</v>
      </c>
      <c r="Z31" s="9" t="str">
        <f t="shared" si="1"/>
        <v/>
      </c>
      <c r="AA31" s="9"/>
      <c r="AB31" s="9" t="str">
        <f t="shared" si="1"/>
        <v/>
      </c>
      <c r="AC31" s="9"/>
      <c r="AD31" s="9" t="str">
        <f t="shared" si="1"/>
        <v/>
      </c>
    </row>
    <row r="32" spans="1:30" x14ac:dyDescent="0.25">
      <c r="A32" t="s">
        <v>39</v>
      </c>
      <c r="B32" s="9">
        <v>1.7600000000000001E-6</v>
      </c>
      <c r="C32" s="9" t="str">
        <f t="shared" si="0"/>
        <v/>
      </c>
      <c r="D32" s="9" t="str">
        <f>+CONCATENATE(ROUND(B32,3), " ",C32)</f>
        <v xml:space="preserve">0 </v>
      </c>
      <c r="E32" s="9">
        <v>4.5589999999999999E-6</v>
      </c>
      <c r="F32" s="9" t="str">
        <f t="shared" si="0"/>
        <v/>
      </c>
      <c r="G32" s="9"/>
      <c r="H32" s="9" t="str">
        <f t="shared" si="0"/>
        <v>***</v>
      </c>
      <c r="I32" s="9"/>
      <c r="J32" s="9" t="str">
        <f t="shared" si="0"/>
        <v>***</v>
      </c>
      <c r="K32" s="9">
        <v>5.0119999999999996E-6</v>
      </c>
      <c r="L32" s="9" t="str">
        <f t="shared" si="0"/>
        <v/>
      </c>
      <c r="M32" s="9">
        <v>2.3870000000000002E-6</v>
      </c>
      <c r="N32" s="9" t="str">
        <f t="shared" si="2"/>
        <v/>
      </c>
      <c r="O32" s="9">
        <v>2.3370000000000002E-5</v>
      </c>
      <c r="P32" s="9" t="str">
        <f t="shared" si="2"/>
        <v/>
      </c>
      <c r="Q32" s="9">
        <v>1.8450000000000001E-5</v>
      </c>
      <c r="R32" s="9" t="str">
        <f t="shared" si="2"/>
        <v/>
      </c>
      <c r="S32" s="9">
        <v>1.4059999999999999E-5</v>
      </c>
      <c r="T32" s="9" t="str">
        <f t="shared" si="2"/>
        <v/>
      </c>
      <c r="U32" s="9">
        <v>1.2469999999999999E-5</v>
      </c>
      <c r="V32" s="9" t="str">
        <f t="shared" si="2"/>
        <v/>
      </c>
      <c r="W32" s="9"/>
      <c r="X32" s="9" t="str">
        <f t="shared" si="2"/>
        <v>***</v>
      </c>
      <c r="Y32" s="9"/>
      <c r="Z32" s="9" t="str">
        <f t="shared" si="1"/>
        <v>***</v>
      </c>
      <c r="AA32" s="9">
        <v>7.3549999999999999E-6</v>
      </c>
      <c r="AB32" s="9" t="str">
        <f t="shared" si="1"/>
        <v/>
      </c>
      <c r="AC32" s="9">
        <v>5.412E-6</v>
      </c>
      <c r="AD32" s="9" t="str">
        <f t="shared" si="1"/>
        <v/>
      </c>
    </row>
    <row r="33" spans="1:30" x14ac:dyDescent="0.25">
      <c r="B33" s="9">
        <v>7.2099999999999996E-6</v>
      </c>
      <c r="C33" s="9" t="str">
        <f t="shared" si="0"/>
        <v/>
      </c>
      <c r="D33" s="9" t="str">
        <f>+CONCATENATE("(",ROUND(B33,3),")")</f>
        <v>(0)</v>
      </c>
      <c r="E33" s="9">
        <v>7.1300000000000003E-6</v>
      </c>
      <c r="F33" s="9" t="str">
        <f t="shared" si="0"/>
        <v/>
      </c>
      <c r="G33" s="9"/>
      <c r="H33" s="9" t="str">
        <f t="shared" si="0"/>
        <v/>
      </c>
      <c r="I33" s="9"/>
      <c r="J33" s="9" t="str">
        <f t="shared" si="0"/>
        <v/>
      </c>
      <c r="K33" s="9">
        <v>8.3799999999999994E-6</v>
      </c>
      <c r="L33" s="9" t="str">
        <f t="shared" si="0"/>
        <v/>
      </c>
      <c r="M33" s="9">
        <v>8.1699999999999997E-6</v>
      </c>
      <c r="N33" s="9" t="str">
        <f t="shared" si="2"/>
        <v/>
      </c>
      <c r="O33" s="9">
        <v>1.4800000000000001E-5</v>
      </c>
      <c r="P33" s="9" t="str">
        <f t="shared" si="2"/>
        <v/>
      </c>
      <c r="Q33" s="9">
        <v>1.4100000000000001E-5</v>
      </c>
      <c r="R33" s="9" t="str">
        <f t="shared" si="2"/>
        <v/>
      </c>
      <c r="S33" s="9">
        <v>1.56E-5</v>
      </c>
      <c r="T33" s="9" t="str">
        <f t="shared" si="2"/>
        <v/>
      </c>
      <c r="U33" s="9">
        <v>1.5E-5</v>
      </c>
      <c r="V33" s="9" t="str">
        <f t="shared" si="2"/>
        <v/>
      </c>
      <c r="W33" s="9"/>
      <c r="X33" s="9" t="str">
        <f t="shared" si="2"/>
        <v/>
      </c>
      <c r="Y33" s="9"/>
      <c r="Z33" s="9" t="str">
        <f t="shared" si="1"/>
        <v/>
      </c>
      <c r="AA33" s="9">
        <v>8.5099999999999998E-6</v>
      </c>
      <c r="AB33" s="9" t="str">
        <f t="shared" si="1"/>
        <v/>
      </c>
      <c r="AC33" s="9">
        <v>8.2700000000000004E-6</v>
      </c>
      <c r="AD33" s="9" t="str">
        <f t="shared" si="1"/>
        <v/>
      </c>
    </row>
    <row r="34" spans="1:30" x14ac:dyDescent="0.25">
      <c r="B34" s="9">
        <v>0.80700000000000005</v>
      </c>
      <c r="C34" s="9" t="str">
        <f t="shared" si="0"/>
        <v/>
      </c>
      <c r="D34" s="9"/>
      <c r="E34" s="9">
        <v>0.52300000000000002</v>
      </c>
      <c r="F34" s="9" t="str">
        <f t="shared" si="0"/>
        <v/>
      </c>
      <c r="G34" s="9"/>
      <c r="H34" s="9" t="str">
        <f t="shared" si="0"/>
        <v/>
      </c>
      <c r="I34" s="9"/>
      <c r="J34" s="9" t="str">
        <f t="shared" si="0"/>
        <v/>
      </c>
      <c r="K34" s="9">
        <v>0.55000000000000004</v>
      </c>
      <c r="L34" s="9" t="str">
        <f t="shared" si="0"/>
        <v/>
      </c>
      <c r="M34" s="9">
        <v>0.77</v>
      </c>
      <c r="N34" s="9" t="str">
        <f t="shared" si="2"/>
        <v/>
      </c>
      <c r="O34" s="9">
        <v>0.11600000000000001</v>
      </c>
      <c r="P34" s="9" t="str">
        <f t="shared" si="2"/>
        <v/>
      </c>
      <c r="Q34" s="9">
        <v>0.19</v>
      </c>
      <c r="R34" s="9" t="str">
        <f t="shared" si="2"/>
        <v/>
      </c>
      <c r="S34" s="9">
        <v>0.36699999999999999</v>
      </c>
      <c r="T34" s="9" t="str">
        <f t="shared" si="2"/>
        <v/>
      </c>
      <c r="U34" s="9">
        <v>0.40500000000000003</v>
      </c>
      <c r="V34" s="9" t="str">
        <f t="shared" si="2"/>
        <v/>
      </c>
      <c r="W34" s="9"/>
      <c r="X34" s="9" t="str">
        <f t="shared" si="2"/>
        <v/>
      </c>
      <c r="Y34" s="9"/>
      <c r="Z34" s="9" t="str">
        <f t="shared" si="1"/>
        <v/>
      </c>
      <c r="AA34" s="9">
        <v>0.38800000000000001</v>
      </c>
      <c r="AB34" s="9" t="str">
        <f t="shared" si="1"/>
        <v/>
      </c>
      <c r="AC34" s="9">
        <v>0.51300000000000001</v>
      </c>
      <c r="AD34" s="9" t="str">
        <f t="shared" si="1"/>
        <v/>
      </c>
    </row>
    <row r="35" spans="1:30" x14ac:dyDescent="0.25">
      <c r="A35" t="s">
        <v>40</v>
      </c>
      <c r="B35" s="9">
        <v>-1E-4</v>
      </c>
      <c r="C35" s="9" t="str">
        <f t="shared" si="0"/>
        <v/>
      </c>
      <c r="D35" s="9" t="str">
        <f>+CONCATENATE(ROUND(B35,3), " ",C35)</f>
        <v xml:space="preserve">0 </v>
      </c>
      <c r="E35" s="9">
        <v>-2.0000000000000001E-4</v>
      </c>
      <c r="F35" s="9" t="str">
        <f t="shared" si="0"/>
        <v/>
      </c>
      <c r="G35" s="9">
        <v>-2.0000000000000001E-4</v>
      </c>
      <c r="H35" s="9" t="str">
        <f t="shared" si="0"/>
        <v/>
      </c>
      <c r="I35" s="9">
        <v>-2.0000000000000001E-4</v>
      </c>
      <c r="J35" s="9" t="str">
        <f t="shared" si="0"/>
        <v/>
      </c>
      <c r="K35" s="9">
        <v>-2.0000000000000001E-4</v>
      </c>
      <c r="L35" s="9" t="str">
        <f t="shared" si="0"/>
        <v/>
      </c>
      <c r="M35" s="9">
        <v>-2.0000000000000001E-4</v>
      </c>
      <c r="N35" s="9" t="str">
        <f t="shared" si="2"/>
        <v/>
      </c>
      <c r="O35" s="9">
        <v>-2.374E-5</v>
      </c>
      <c r="P35" s="9" t="str">
        <f t="shared" si="2"/>
        <v/>
      </c>
      <c r="Q35" s="9">
        <v>4.6100000000000002E-5</v>
      </c>
      <c r="R35" s="9" t="str">
        <f t="shared" si="2"/>
        <v/>
      </c>
      <c r="S35" s="9">
        <v>5.0000000000000001E-4</v>
      </c>
      <c r="T35" s="9" t="str">
        <f t="shared" si="2"/>
        <v>*</v>
      </c>
      <c r="U35" s="9">
        <v>2.9999999999999997E-4</v>
      </c>
      <c r="V35" s="9" t="str">
        <f t="shared" si="2"/>
        <v/>
      </c>
      <c r="W35" s="9"/>
      <c r="X35" s="9" t="str">
        <f t="shared" si="2"/>
        <v>***</v>
      </c>
      <c r="Y35" s="9"/>
      <c r="Z35" s="9" t="str">
        <f t="shared" si="1"/>
        <v>***</v>
      </c>
      <c r="AA35" s="9">
        <v>-2.0000000000000001E-4</v>
      </c>
      <c r="AB35" s="9" t="str">
        <f t="shared" si="1"/>
        <v/>
      </c>
      <c r="AC35" s="9">
        <v>-2.0000000000000001E-4</v>
      </c>
      <c r="AD35" s="9" t="str">
        <f t="shared" si="1"/>
        <v/>
      </c>
    </row>
    <row r="36" spans="1:30" x14ac:dyDescent="0.25">
      <c r="B36" s="9">
        <v>0</v>
      </c>
      <c r="C36" s="9" t="str">
        <f t="shared" si="0"/>
        <v/>
      </c>
      <c r="D36" s="9" t="str">
        <f>+CONCATENATE("(",ROUND(B36,3),")")</f>
        <v>(0)</v>
      </c>
      <c r="E36" s="9">
        <v>0</v>
      </c>
      <c r="F36" s="9" t="str">
        <f t="shared" si="0"/>
        <v/>
      </c>
      <c r="G36" s="9">
        <v>0</v>
      </c>
      <c r="H36" s="9" t="str">
        <f t="shared" si="0"/>
        <v/>
      </c>
      <c r="I36" s="9">
        <v>0</v>
      </c>
      <c r="J36" s="9" t="str">
        <f t="shared" si="0"/>
        <v/>
      </c>
      <c r="K36" s="9">
        <v>0</v>
      </c>
      <c r="L36" s="9" t="str">
        <f t="shared" si="0"/>
        <v/>
      </c>
      <c r="M36" s="9">
        <v>0</v>
      </c>
      <c r="N36" s="9" t="str">
        <f t="shared" si="2"/>
        <v/>
      </c>
      <c r="O36" s="9">
        <v>0</v>
      </c>
      <c r="P36" s="9" t="str">
        <f t="shared" si="2"/>
        <v/>
      </c>
      <c r="Q36" s="9">
        <v>0</v>
      </c>
      <c r="R36" s="9" t="str">
        <f t="shared" si="2"/>
        <v/>
      </c>
      <c r="S36" s="9">
        <v>0</v>
      </c>
      <c r="T36" s="9" t="str">
        <f t="shared" si="2"/>
        <v/>
      </c>
      <c r="U36" s="9">
        <v>0</v>
      </c>
      <c r="V36" s="9" t="str">
        <f t="shared" si="2"/>
        <v/>
      </c>
      <c r="W36" s="9"/>
      <c r="X36" s="9" t="str">
        <f t="shared" si="2"/>
        <v/>
      </c>
      <c r="Y36" s="9"/>
      <c r="Z36" s="9" t="str">
        <f t="shared" si="1"/>
        <v/>
      </c>
      <c r="AA36" s="9">
        <v>0</v>
      </c>
      <c r="AB36" s="9" t="str">
        <f t="shared" si="1"/>
        <v/>
      </c>
      <c r="AC36" s="9">
        <v>0</v>
      </c>
      <c r="AD36" s="9" t="str">
        <f t="shared" si="1"/>
        <v/>
      </c>
    </row>
    <row r="37" spans="1:30" x14ac:dyDescent="0.25">
      <c r="B37" s="9">
        <v>0.34300000000000003</v>
      </c>
      <c r="C37" s="9" t="str">
        <f t="shared" si="0"/>
        <v/>
      </c>
      <c r="D37" s="9"/>
      <c r="E37" s="9">
        <v>0.108</v>
      </c>
      <c r="F37" s="9" t="str">
        <f t="shared" si="0"/>
        <v/>
      </c>
      <c r="G37" s="9">
        <v>0.28000000000000003</v>
      </c>
      <c r="H37" s="9" t="str">
        <f t="shared" si="0"/>
        <v/>
      </c>
      <c r="I37" s="9">
        <v>0.26900000000000002</v>
      </c>
      <c r="J37" s="9" t="str">
        <f t="shared" si="0"/>
        <v/>
      </c>
      <c r="K37" s="9">
        <v>0.20200000000000001</v>
      </c>
      <c r="L37" s="9" t="str">
        <f t="shared" si="0"/>
        <v/>
      </c>
      <c r="M37" s="9">
        <v>0.28499999999999998</v>
      </c>
      <c r="N37" s="9" t="str">
        <f t="shared" si="2"/>
        <v/>
      </c>
      <c r="O37" s="9">
        <v>0.93</v>
      </c>
      <c r="P37" s="9" t="str">
        <f t="shared" si="2"/>
        <v/>
      </c>
      <c r="Q37" s="9">
        <v>0.85699999999999998</v>
      </c>
      <c r="R37" s="9" t="str">
        <f t="shared" si="2"/>
        <v/>
      </c>
      <c r="S37" s="9">
        <v>9.2999999999999999E-2</v>
      </c>
      <c r="T37" s="9" t="str">
        <f t="shared" si="2"/>
        <v/>
      </c>
      <c r="U37" s="9">
        <v>0.246</v>
      </c>
      <c r="V37" s="9" t="str">
        <f t="shared" si="2"/>
        <v/>
      </c>
      <c r="W37" s="9"/>
      <c r="X37" s="9" t="str">
        <f t="shared" si="2"/>
        <v/>
      </c>
      <c r="Y37" s="9"/>
      <c r="Z37" s="9" t="str">
        <f t="shared" si="1"/>
        <v/>
      </c>
      <c r="AA37" s="9">
        <v>0.27700000000000002</v>
      </c>
      <c r="AB37" s="9" t="str">
        <f t="shared" si="1"/>
        <v/>
      </c>
      <c r="AC37" s="9">
        <v>0.31</v>
      </c>
      <c r="AD37" s="9" t="str">
        <f t="shared" si="1"/>
        <v/>
      </c>
    </row>
    <row r="38" spans="1:30" x14ac:dyDescent="0.25">
      <c r="A38" t="s">
        <v>41</v>
      </c>
      <c r="B38" s="9">
        <v>-5.9960000000000002E-5</v>
      </c>
      <c r="C38" s="9" t="str">
        <f t="shared" si="0"/>
        <v/>
      </c>
      <c r="D38" s="9" t="str">
        <f>+CONCATENATE(ROUND(B38,3), " ",C38)</f>
        <v xml:space="preserve">0 </v>
      </c>
      <c r="E38" s="9">
        <v>6.6769999999999999E-5</v>
      </c>
      <c r="F38" s="9" t="str">
        <f t="shared" si="0"/>
        <v/>
      </c>
      <c r="G38" s="9"/>
      <c r="H38" s="9" t="str">
        <f t="shared" si="0"/>
        <v>***</v>
      </c>
      <c r="I38" s="9"/>
      <c r="J38" s="9" t="str">
        <f t="shared" si="0"/>
        <v>***</v>
      </c>
      <c r="K38" s="9"/>
      <c r="L38" s="9" t="str">
        <f t="shared" si="0"/>
        <v>***</v>
      </c>
      <c r="M38" s="9"/>
      <c r="N38" s="9" t="str">
        <f t="shared" si="2"/>
        <v>***</v>
      </c>
      <c r="O38" s="9">
        <v>-1.1999999999999999E-3</v>
      </c>
      <c r="P38" s="9" t="str">
        <f t="shared" si="2"/>
        <v>***</v>
      </c>
      <c r="Q38" s="9">
        <v>-1.1000000000000001E-3</v>
      </c>
      <c r="R38" s="9" t="str">
        <f t="shared" si="2"/>
        <v>***</v>
      </c>
      <c r="S38" s="9">
        <v>-1.5E-3</v>
      </c>
      <c r="T38" s="9" t="str">
        <f t="shared" si="2"/>
        <v>***</v>
      </c>
      <c r="U38" s="9">
        <v>-1.2999999999999999E-3</v>
      </c>
      <c r="V38" s="9" t="str">
        <f t="shared" si="2"/>
        <v>***</v>
      </c>
      <c r="W38" s="9"/>
      <c r="X38" s="9" t="str">
        <f t="shared" si="2"/>
        <v>***</v>
      </c>
      <c r="Y38" s="9"/>
      <c r="Z38" s="9" t="str">
        <f t="shared" si="1"/>
        <v>***</v>
      </c>
      <c r="AA38" s="9"/>
      <c r="AB38" s="9" t="str">
        <f t="shared" si="1"/>
        <v>***</v>
      </c>
      <c r="AC38" s="9"/>
      <c r="AD38" s="9" t="str">
        <f t="shared" si="1"/>
        <v>***</v>
      </c>
    </row>
    <row r="39" spans="1:30" x14ac:dyDescent="0.25">
      <c r="B39" s="9">
        <v>0</v>
      </c>
      <c r="C39" s="9" t="str">
        <f t="shared" si="0"/>
        <v/>
      </c>
      <c r="D39" s="9" t="str">
        <f>+CONCATENATE("(",ROUND(B39,3),")")</f>
        <v>(0)</v>
      </c>
      <c r="E39" s="9">
        <v>0</v>
      </c>
      <c r="F39" s="9" t="str">
        <f t="shared" si="0"/>
        <v/>
      </c>
      <c r="G39" s="9"/>
      <c r="H39" s="9" t="str">
        <f t="shared" si="0"/>
        <v/>
      </c>
      <c r="I39" s="9"/>
      <c r="J39" s="9" t="str">
        <f t="shared" si="0"/>
        <v/>
      </c>
      <c r="K39" s="9"/>
      <c r="L39" s="9" t="str">
        <f t="shared" si="0"/>
        <v/>
      </c>
      <c r="M39" s="9"/>
      <c r="N39" s="9" t="str">
        <f t="shared" si="2"/>
        <v/>
      </c>
      <c r="O39" s="9">
        <v>0</v>
      </c>
      <c r="P39" s="9" t="str">
        <f t="shared" si="2"/>
        <v/>
      </c>
      <c r="Q39" s="9">
        <v>0</v>
      </c>
      <c r="R39" s="9" t="str">
        <f t="shared" si="2"/>
        <v/>
      </c>
      <c r="S39" s="9">
        <v>0</v>
      </c>
      <c r="T39" s="9" t="str">
        <f t="shared" si="2"/>
        <v/>
      </c>
      <c r="U39" s="9">
        <v>0</v>
      </c>
      <c r="V39" s="9" t="str">
        <f t="shared" si="2"/>
        <v/>
      </c>
      <c r="W39" s="9"/>
      <c r="X39" s="9" t="str">
        <f t="shared" si="2"/>
        <v/>
      </c>
      <c r="Y39" s="9"/>
      <c r="Z39" s="9" t="str">
        <f t="shared" si="1"/>
        <v/>
      </c>
      <c r="AA39" s="9"/>
      <c r="AB39" s="9" t="str">
        <f t="shared" si="1"/>
        <v/>
      </c>
      <c r="AC39" s="9"/>
      <c r="AD39" s="9" t="str">
        <f t="shared" si="1"/>
        <v/>
      </c>
    </row>
    <row r="40" spans="1:30" x14ac:dyDescent="0.25">
      <c r="B40" s="9">
        <v>0.78300000000000003</v>
      </c>
      <c r="C40" s="9" t="str">
        <f t="shared" si="0"/>
        <v/>
      </c>
      <c r="D40" s="9"/>
      <c r="E40" s="9">
        <v>0.75800000000000001</v>
      </c>
      <c r="F40" s="9" t="str">
        <f t="shared" si="0"/>
        <v/>
      </c>
      <c r="G40" s="9"/>
      <c r="H40" s="9" t="str">
        <f t="shared" si="0"/>
        <v/>
      </c>
      <c r="I40" s="9"/>
      <c r="J40" s="9" t="str">
        <f t="shared" si="0"/>
        <v/>
      </c>
      <c r="K40" s="9"/>
      <c r="L40" s="9" t="str">
        <f t="shared" si="0"/>
        <v/>
      </c>
      <c r="M40" s="9"/>
      <c r="N40" s="9" t="str">
        <f t="shared" si="2"/>
        <v/>
      </c>
      <c r="O40" s="9">
        <v>4.0000000000000001E-3</v>
      </c>
      <c r="P40" s="9" t="str">
        <f t="shared" si="2"/>
        <v/>
      </c>
      <c r="Q40" s="9">
        <v>7.0000000000000001E-3</v>
      </c>
      <c r="R40" s="9" t="str">
        <f t="shared" si="2"/>
        <v/>
      </c>
      <c r="S40" s="9">
        <v>1E-3</v>
      </c>
      <c r="T40" s="9" t="str">
        <f t="shared" si="2"/>
        <v/>
      </c>
      <c r="U40" s="9">
        <v>3.0000000000000001E-3</v>
      </c>
      <c r="V40" s="9" t="str">
        <f t="shared" si="2"/>
        <v/>
      </c>
      <c r="W40" s="9"/>
      <c r="X40" s="9" t="str">
        <f t="shared" si="2"/>
        <v/>
      </c>
      <c r="Y40" s="9"/>
      <c r="Z40" s="9" t="str">
        <f t="shared" si="1"/>
        <v/>
      </c>
      <c r="AA40" s="9"/>
      <c r="AB40" s="9" t="str">
        <f t="shared" si="1"/>
        <v/>
      </c>
      <c r="AC40" s="9"/>
      <c r="AD40" s="9" t="str">
        <f t="shared" si="1"/>
        <v/>
      </c>
    </row>
    <row r="41" spans="1:30" x14ac:dyDescent="0.25">
      <c r="A41" t="s">
        <v>42</v>
      </c>
      <c r="B41" s="9">
        <v>-3.8E-3</v>
      </c>
      <c r="C41" s="9" t="str">
        <f t="shared" si="0"/>
        <v/>
      </c>
      <c r="D41" s="9" t="str">
        <f>+CONCATENATE(ROUND(B41,3), " ",C41)</f>
        <v xml:space="preserve">-0,004 </v>
      </c>
      <c r="E41" s="9">
        <v>-1E-3</v>
      </c>
      <c r="F41" s="9" t="str">
        <f t="shared" si="0"/>
        <v/>
      </c>
      <c r="G41" s="9"/>
      <c r="H41" s="9" t="str">
        <f t="shared" si="0"/>
        <v>***</v>
      </c>
      <c r="I41" s="9"/>
      <c r="J41" s="9" t="str">
        <f t="shared" si="0"/>
        <v>***</v>
      </c>
      <c r="K41" s="9"/>
      <c r="L41" s="9" t="str">
        <f t="shared" si="0"/>
        <v>***</v>
      </c>
      <c r="M41" s="9"/>
      <c r="N41" s="9" t="str">
        <f t="shared" si="2"/>
        <v>***</v>
      </c>
      <c r="O41" s="9"/>
      <c r="P41" s="9" t="str">
        <f t="shared" si="2"/>
        <v>***</v>
      </c>
      <c r="Q41" s="9"/>
      <c r="R41" s="9" t="str">
        <f t="shared" si="2"/>
        <v>***</v>
      </c>
      <c r="S41" s="9"/>
      <c r="T41" s="9" t="str">
        <f t="shared" si="2"/>
        <v>***</v>
      </c>
      <c r="U41" s="9"/>
      <c r="V41" s="9" t="str">
        <f t="shared" si="2"/>
        <v>***</v>
      </c>
      <c r="W41" s="9">
        <v>-1.6000000000000001E-3</v>
      </c>
      <c r="X41" s="9" t="str">
        <f t="shared" si="2"/>
        <v/>
      </c>
      <c r="Y41" s="9">
        <v>1.1000000000000001E-3</v>
      </c>
      <c r="Z41" s="9" t="str">
        <f t="shared" si="1"/>
        <v/>
      </c>
      <c r="AA41" s="9">
        <v>2.8799999999999999E-2</v>
      </c>
      <c r="AB41" s="9" t="str">
        <f t="shared" si="1"/>
        <v>***</v>
      </c>
      <c r="AC41" s="9">
        <v>2.9600000000000001E-2</v>
      </c>
      <c r="AD41" s="9" t="str">
        <f t="shared" si="1"/>
        <v>***</v>
      </c>
    </row>
    <row r="42" spans="1:30" x14ac:dyDescent="0.25">
      <c r="B42" s="9">
        <v>7.0000000000000001E-3</v>
      </c>
      <c r="C42" s="9" t="str">
        <f t="shared" si="0"/>
        <v/>
      </c>
      <c r="D42" s="9" t="str">
        <f>+CONCATENATE("(",ROUND(B42,3),")")</f>
        <v>(0,007)</v>
      </c>
      <c r="E42" s="9">
        <v>7.0000000000000001E-3</v>
      </c>
      <c r="F42" s="9" t="str">
        <f t="shared" si="0"/>
        <v/>
      </c>
      <c r="G42" s="9"/>
      <c r="H42" s="9" t="str">
        <f t="shared" si="0"/>
        <v/>
      </c>
      <c r="I42" s="9"/>
      <c r="J42" s="9" t="str">
        <f t="shared" si="0"/>
        <v/>
      </c>
      <c r="K42" s="9"/>
      <c r="L42" s="9" t="str">
        <f t="shared" si="0"/>
        <v/>
      </c>
      <c r="M42" s="9"/>
      <c r="N42" s="9" t="str">
        <f t="shared" si="2"/>
        <v/>
      </c>
      <c r="O42" s="9"/>
      <c r="P42" s="9" t="str">
        <f t="shared" si="2"/>
        <v/>
      </c>
      <c r="Q42" s="9"/>
      <c r="R42" s="9" t="str">
        <f t="shared" si="2"/>
        <v/>
      </c>
      <c r="S42" s="9"/>
      <c r="T42" s="9" t="str">
        <f t="shared" si="2"/>
        <v/>
      </c>
      <c r="U42" s="9"/>
      <c r="V42" s="9" t="str">
        <f t="shared" si="2"/>
        <v/>
      </c>
      <c r="W42" s="9">
        <v>6.0000000000000001E-3</v>
      </c>
      <c r="X42" s="9" t="str">
        <f t="shared" si="2"/>
        <v/>
      </c>
      <c r="Y42" s="9">
        <v>6.0000000000000001E-3</v>
      </c>
      <c r="Z42" s="9" t="str">
        <f t="shared" si="1"/>
        <v/>
      </c>
      <c r="AA42" s="9">
        <v>1E-3</v>
      </c>
      <c r="AB42" s="9" t="str">
        <f t="shared" si="1"/>
        <v/>
      </c>
      <c r="AC42" s="9">
        <v>1E-3</v>
      </c>
      <c r="AD42" s="9" t="str">
        <f t="shared" si="1"/>
        <v/>
      </c>
    </row>
    <row r="43" spans="1:30" x14ac:dyDescent="0.25">
      <c r="B43" s="9">
        <v>0.56000000000000005</v>
      </c>
      <c r="C43" s="9" t="str">
        <f t="shared" si="0"/>
        <v/>
      </c>
      <c r="D43" s="9"/>
      <c r="E43" s="9">
        <v>0.88</v>
      </c>
      <c r="F43" s="9" t="str">
        <f t="shared" si="0"/>
        <v/>
      </c>
      <c r="G43" s="9"/>
      <c r="H43" s="9" t="str">
        <f t="shared" si="0"/>
        <v/>
      </c>
      <c r="I43" s="9"/>
      <c r="J43" s="9" t="str">
        <f t="shared" si="0"/>
        <v/>
      </c>
      <c r="K43" s="9"/>
      <c r="L43" s="9" t="str">
        <f t="shared" si="0"/>
        <v/>
      </c>
      <c r="M43" s="9"/>
      <c r="N43" s="9" t="str">
        <f t="shared" si="2"/>
        <v/>
      </c>
      <c r="O43" s="9"/>
      <c r="P43" s="9" t="str">
        <f t="shared" si="2"/>
        <v/>
      </c>
      <c r="Q43" s="9"/>
      <c r="R43" s="9" t="str">
        <f t="shared" si="2"/>
        <v/>
      </c>
      <c r="S43" s="9"/>
      <c r="T43" s="9" t="str">
        <f t="shared" si="2"/>
        <v/>
      </c>
      <c r="U43" s="9"/>
      <c r="V43" s="9" t="str">
        <f t="shared" si="2"/>
        <v/>
      </c>
      <c r="W43" s="9">
        <v>0.79600000000000004</v>
      </c>
      <c r="X43" s="9" t="str">
        <f t="shared" si="2"/>
        <v/>
      </c>
      <c r="Y43" s="9">
        <v>0.86599999999999999</v>
      </c>
      <c r="Z43" s="9" t="str">
        <f t="shared" si="1"/>
        <v/>
      </c>
      <c r="AA43" s="9">
        <v>0</v>
      </c>
      <c r="AB43" s="9" t="str">
        <f t="shared" si="1"/>
        <v/>
      </c>
      <c r="AC43" s="9">
        <v>0</v>
      </c>
      <c r="AD43" s="9" t="str">
        <f t="shared" si="1"/>
        <v/>
      </c>
    </row>
    <row r="44" spans="1:30" x14ac:dyDescent="0.25">
      <c r="A44" t="s">
        <v>43</v>
      </c>
      <c r="B44" s="9">
        <v>4.2099999999999999E-2</v>
      </c>
      <c r="C44" s="9" t="str">
        <f t="shared" si="0"/>
        <v>***</v>
      </c>
      <c r="D44" s="9" t="str">
        <f>+CONCATENATE(ROUND(B44,3), " ",C44)</f>
        <v>0,042 ***</v>
      </c>
      <c r="E44" s="9">
        <v>4.0099999999999997E-2</v>
      </c>
      <c r="F44" s="9" t="str">
        <f t="shared" si="0"/>
        <v>***</v>
      </c>
      <c r="G44" s="9">
        <v>2.9399999999999999E-2</v>
      </c>
      <c r="H44" s="9" t="str">
        <f t="shared" si="0"/>
        <v>***</v>
      </c>
      <c r="I44" s="9">
        <v>3.0800000000000001E-2</v>
      </c>
      <c r="J44" s="9" t="str">
        <f t="shared" si="0"/>
        <v>***</v>
      </c>
      <c r="K44" s="9">
        <v>2.9600000000000001E-2</v>
      </c>
      <c r="L44" s="9" t="str">
        <f t="shared" si="0"/>
        <v>***</v>
      </c>
      <c r="M44" s="9">
        <v>3.0499999999999999E-2</v>
      </c>
      <c r="N44" s="9" t="str">
        <f t="shared" si="2"/>
        <v>***</v>
      </c>
      <c r="O44" s="9"/>
      <c r="P44" s="9" t="str">
        <f t="shared" si="2"/>
        <v>***</v>
      </c>
      <c r="Q44" s="9"/>
      <c r="R44" s="9" t="str">
        <f t="shared" si="2"/>
        <v>***</v>
      </c>
      <c r="S44" s="9"/>
      <c r="T44" s="9" t="str">
        <f t="shared" si="2"/>
        <v>***</v>
      </c>
      <c r="U44" s="9"/>
      <c r="V44" s="9" t="str">
        <f t="shared" si="2"/>
        <v>***</v>
      </c>
      <c r="W44" s="9">
        <v>3.95E-2</v>
      </c>
      <c r="X44" s="9" t="str">
        <f t="shared" ref="X44:AD58" si="3">+IF($A44&lt;&gt;"",IF(W46&lt;0.01,"***",IF(W46&lt;0.05,"**",IF(W46&lt;0.1,"*",""))),"")</f>
        <v>***</v>
      </c>
      <c r="Y44" s="9">
        <v>3.7400000000000003E-2</v>
      </c>
      <c r="Z44" s="9" t="str">
        <f t="shared" si="3"/>
        <v>***</v>
      </c>
      <c r="AA44" s="9"/>
      <c r="AB44" s="9" t="str">
        <f t="shared" si="3"/>
        <v>***</v>
      </c>
      <c r="AC44" s="9"/>
      <c r="AD44" s="9" t="str">
        <f t="shared" si="3"/>
        <v>***</v>
      </c>
    </row>
    <row r="45" spans="1:30" x14ac:dyDescent="0.25">
      <c r="B45" s="9">
        <v>7.0000000000000001E-3</v>
      </c>
      <c r="C45" s="9" t="str">
        <f t="shared" si="0"/>
        <v/>
      </c>
      <c r="D45" s="9" t="str">
        <f>+CONCATENATE("(",ROUND(B45,3),")")</f>
        <v>(0,007)</v>
      </c>
      <c r="E45" s="9">
        <v>7.0000000000000001E-3</v>
      </c>
      <c r="F45" s="9" t="str">
        <f t="shared" si="0"/>
        <v/>
      </c>
      <c r="G45" s="9">
        <v>1E-3</v>
      </c>
      <c r="H45" s="9" t="str">
        <f t="shared" si="0"/>
        <v/>
      </c>
      <c r="I45" s="9">
        <v>1E-3</v>
      </c>
      <c r="J45" s="9" t="str">
        <f t="shared" si="0"/>
        <v/>
      </c>
      <c r="K45" s="9">
        <v>1E-3</v>
      </c>
      <c r="L45" s="9" t="str">
        <f t="shared" si="0"/>
        <v/>
      </c>
      <c r="M45" s="9">
        <v>1E-3</v>
      </c>
      <c r="N45" s="9" t="str">
        <f t="shared" si="2"/>
        <v/>
      </c>
      <c r="O45" s="9"/>
      <c r="P45" s="9" t="str">
        <f t="shared" si="2"/>
        <v/>
      </c>
      <c r="Q45" s="9"/>
      <c r="R45" s="9" t="str">
        <f t="shared" si="2"/>
        <v/>
      </c>
      <c r="S45" s="9"/>
      <c r="T45" s="9" t="str">
        <f t="shared" si="2"/>
        <v/>
      </c>
      <c r="U45" s="9"/>
      <c r="V45" s="9" t="str">
        <f t="shared" si="2"/>
        <v/>
      </c>
      <c r="W45" s="9">
        <v>7.0000000000000001E-3</v>
      </c>
      <c r="X45" s="9" t="str">
        <f t="shared" si="3"/>
        <v/>
      </c>
      <c r="Y45" s="9">
        <v>7.0000000000000001E-3</v>
      </c>
      <c r="Z45" s="9" t="str">
        <f t="shared" si="3"/>
        <v/>
      </c>
      <c r="AA45" s="9"/>
      <c r="AB45" s="9" t="str">
        <f t="shared" si="3"/>
        <v/>
      </c>
      <c r="AC45" s="9"/>
      <c r="AD45" s="9" t="str">
        <f t="shared" si="3"/>
        <v/>
      </c>
    </row>
    <row r="46" spans="1:30" x14ac:dyDescent="0.25">
      <c r="B46" s="9">
        <v>0</v>
      </c>
      <c r="C46" s="9" t="str">
        <f t="shared" si="0"/>
        <v/>
      </c>
      <c r="D46" s="9"/>
      <c r="E46" s="9">
        <v>0</v>
      </c>
      <c r="F46" s="9" t="str">
        <f t="shared" si="0"/>
        <v/>
      </c>
      <c r="G46" s="9">
        <v>0</v>
      </c>
      <c r="H46" s="9" t="str">
        <f t="shared" si="0"/>
        <v/>
      </c>
      <c r="I46" s="9">
        <v>0</v>
      </c>
      <c r="J46" s="9" t="str">
        <f t="shared" si="0"/>
        <v/>
      </c>
      <c r="K46" s="9">
        <v>0</v>
      </c>
      <c r="L46" s="9" t="str">
        <f t="shared" si="0"/>
        <v/>
      </c>
      <c r="M46" s="9">
        <v>0</v>
      </c>
      <c r="N46" s="9" t="str">
        <f t="shared" si="2"/>
        <v/>
      </c>
      <c r="O46" s="9"/>
      <c r="P46" s="9" t="str">
        <f t="shared" si="2"/>
        <v/>
      </c>
      <c r="Q46" s="9"/>
      <c r="R46" s="9" t="str">
        <f t="shared" si="2"/>
        <v/>
      </c>
      <c r="S46" s="9"/>
      <c r="T46" s="9" t="str">
        <f t="shared" si="2"/>
        <v/>
      </c>
      <c r="U46" s="9"/>
      <c r="V46" s="9" t="str">
        <f t="shared" si="2"/>
        <v/>
      </c>
      <c r="W46" s="9">
        <v>0</v>
      </c>
      <c r="X46" s="9" t="str">
        <f t="shared" si="3"/>
        <v/>
      </c>
      <c r="Y46" s="9">
        <v>0</v>
      </c>
      <c r="Z46" s="9" t="str">
        <f t="shared" si="3"/>
        <v/>
      </c>
      <c r="AA46" s="9"/>
      <c r="AB46" s="9" t="str">
        <f t="shared" si="3"/>
        <v/>
      </c>
      <c r="AC46" s="9"/>
      <c r="AD46" s="9" t="str">
        <f t="shared" si="3"/>
        <v/>
      </c>
    </row>
    <row r="47" spans="1:30" x14ac:dyDescent="0.25">
      <c r="A47" t="s">
        <v>44</v>
      </c>
      <c r="B47" s="9">
        <v>-1.0800000000000001E-2</v>
      </c>
      <c r="C47" s="9" t="str">
        <f t="shared" si="0"/>
        <v>*</v>
      </c>
      <c r="D47" s="9" t="str">
        <f>+CONCATENATE(ROUND(B47,3), " ",C47)</f>
        <v>-0,011 *</v>
      </c>
      <c r="E47" s="9">
        <v>-1.24E-2</v>
      </c>
      <c r="F47" s="9" t="str">
        <f t="shared" si="0"/>
        <v>**</v>
      </c>
      <c r="G47" s="9">
        <v>-1.7299999999999999E-2</v>
      </c>
      <c r="H47" s="9" t="str">
        <f t="shared" si="0"/>
        <v>***</v>
      </c>
      <c r="I47" s="9">
        <v>-1.9099999999999999E-2</v>
      </c>
      <c r="J47" s="9" t="str">
        <f t="shared" si="0"/>
        <v>***</v>
      </c>
      <c r="K47" s="9"/>
      <c r="L47" s="9" t="str">
        <f t="shared" si="0"/>
        <v>***</v>
      </c>
      <c r="M47" s="9"/>
      <c r="N47" s="9" t="str">
        <f t="shared" si="2"/>
        <v>***</v>
      </c>
      <c r="O47" s="9">
        <v>-1.6799999999999999E-2</v>
      </c>
      <c r="P47" s="9" t="str">
        <f t="shared" si="2"/>
        <v/>
      </c>
      <c r="Q47" s="9">
        <v>-1.7899999999999999E-2</v>
      </c>
      <c r="R47" s="9" t="str">
        <f t="shared" si="2"/>
        <v/>
      </c>
      <c r="S47" s="9">
        <v>1.4E-2</v>
      </c>
      <c r="T47" s="9" t="str">
        <f t="shared" si="2"/>
        <v/>
      </c>
      <c r="U47" s="9">
        <v>1.6999999999999999E-3</v>
      </c>
      <c r="V47" s="9" t="str">
        <f t="shared" si="2"/>
        <v/>
      </c>
      <c r="W47" s="9"/>
      <c r="X47" s="9" t="str">
        <f t="shared" si="3"/>
        <v>***</v>
      </c>
      <c r="Y47" s="9"/>
      <c r="Z47" s="9" t="str">
        <f t="shared" si="3"/>
        <v>***</v>
      </c>
      <c r="AA47" s="9"/>
      <c r="AB47" s="9" t="str">
        <f t="shared" si="3"/>
        <v>***</v>
      </c>
      <c r="AC47" s="9"/>
      <c r="AD47" s="9" t="str">
        <f t="shared" si="3"/>
        <v>***</v>
      </c>
    </row>
    <row r="48" spans="1:30" x14ac:dyDescent="0.25">
      <c r="B48" s="9">
        <v>6.0000000000000001E-3</v>
      </c>
      <c r="C48" s="9" t="str">
        <f t="shared" si="0"/>
        <v/>
      </c>
      <c r="D48" s="9" t="str">
        <f>+CONCATENATE("(",ROUND(B48,3),")")</f>
        <v>(0,006)</v>
      </c>
      <c r="E48" s="9">
        <v>6.0000000000000001E-3</v>
      </c>
      <c r="F48" s="9" t="str">
        <f t="shared" si="0"/>
        <v/>
      </c>
      <c r="G48" s="9">
        <v>6.0000000000000001E-3</v>
      </c>
      <c r="H48" s="9" t="str">
        <f t="shared" si="0"/>
        <v/>
      </c>
      <c r="I48" s="9">
        <v>6.0000000000000001E-3</v>
      </c>
      <c r="J48" s="9" t="str">
        <f t="shared" si="0"/>
        <v/>
      </c>
      <c r="K48" s="9"/>
      <c r="L48" s="9" t="str">
        <f t="shared" si="0"/>
        <v/>
      </c>
      <c r="M48" s="9"/>
      <c r="N48" s="9" t="str">
        <f t="shared" si="2"/>
        <v/>
      </c>
      <c r="O48" s="9">
        <v>1.2E-2</v>
      </c>
      <c r="P48" s="9" t="str">
        <f t="shared" si="2"/>
        <v/>
      </c>
      <c r="Q48" s="9">
        <v>1.0999999999999999E-2</v>
      </c>
      <c r="R48" s="9" t="str">
        <f t="shared" si="2"/>
        <v/>
      </c>
      <c r="S48" s="9">
        <v>1.2E-2</v>
      </c>
      <c r="T48" s="9" t="str">
        <f t="shared" si="2"/>
        <v/>
      </c>
      <c r="U48" s="9">
        <v>1.2E-2</v>
      </c>
      <c r="V48" s="9" t="str">
        <f t="shared" si="2"/>
        <v/>
      </c>
      <c r="W48" s="9"/>
      <c r="X48" s="9" t="str">
        <f t="shared" si="3"/>
        <v/>
      </c>
      <c r="Y48" s="9"/>
      <c r="Z48" s="9" t="str">
        <f t="shared" si="3"/>
        <v/>
      </c>
      <c r="AA48" s="9"/>
      <c r="AB48" s="9" t="str">
        <f t="shared" si="3"/>
        <v/>
      </c>
      <c r="AC48" s="9"/>
      <c r="AD48" s="9" t="str">
        <f t="shared" si="3"/>
        <v/>
      </c>
    </row>
    <row r="49" spans="1:30" x14ac:dyDescent="0.25">
      <c r="B49" s="9">
        <v>6.6000000000000003E-2</v>
      </c>
      <c r="C49" s="9" t="str">
        <f t="shared" si="0"/>
        <v/>
      </c>
      <c r="D49" s="9"/>
      <c r="E49" s="9">
        <v>3.7999999999999999E-2</v>
      </c>
      <c r="F49" s="9" t="str">
        <f t="shared" si="0"/>
        <v/>
      </c>
      <c r="G49" s="9">
        <v>8.0000000000000002E-3</v>
      </c>
      <c r="H49" s="9" t="str">
        <f t="shared" si="0"/>
        <v/>
      </c>
      <c r="I49" s="9">
        <v>3.0000000000000001E-3</v>
      </c>
      <c r="J49" s="9" t="str">
        <f t="shared" si="0"/>
        <v/>
      </c>
      <c r="K49" s="9"/>
      <c r="L49" s="9" t="str">
        <f t="shared" si="0"/>
        <v/>
      </c>
      <c r="M49" s="9"/>
      <c r="N49" s="9" t="str">
        <f t="shared" si="2"/>
        <v/>
      </c>
      <c r="O49" s="9">
        <v>0.156</v>
      </c>
      <c r="P49" s="9" t="str">
        <f t="shared" si="2"/>
        <v/>
      </c>
      <c r="Q49" s="9">
        <v>0.11700000000000001</v>
      </c>
      <c r="R49" s="9" t="str">
        <f t="shared" si="2"/>
        <v/>
      </c>
      <c r="S49" s="9">
        <v>0.26</v>
      </c>
      <c r="T49" s="9" t="str">
        <f t="shared" si="2"/>
        <v/>
      </c>
      <c r="U49" s="9">
        <v>0.89100000000000001</v>
      </c>
      <c r="V49" s="9" t="str">
        <f t="shared" si="2"/>
        <v/>
      </c>
      <c r="W49" s="9"/>
      <c r="X49" s="9" t="str">
        <f t="shared" si="3"/>
        <v/>
      </c>
      <c r="Y49" s="9"/>
      <c r="Z49" s="9" t="str">
        <f t="shared" si="3"/>
        <v/>
      </c>
      <c r="AA49" s="9"/>
      <c r="AB49" s="9" t="str">
        <f t="shared" si="3"/>
        <v/>
      </c>
      <c r="AC49" s="9"/>
      <c r="AD49" s="9" t="str">
        <f t="shared" si="3"/>
        <v/>
      </c>
    </row>
    <row r="50" spans="1:30" x14ac:dyDescent="0.25">
      <c r="A50" t="s">
        <v>45</v>
      </c>
      <c r="B50" s="9">
        <v>1.6199999999999999E-2</v>
      </c>
      <c r="C50" s="9" t="str">
        <f t="shared" si="0"/>
        <v>***</v>
      </c>
      <c r="D50" s="9" t="str">
        <f>+CONCATENATE(ROUND(B50,3), " ",C50)</f>
        <v>0,016 ***</v>
      </c>
      <c r="E50" s="9">
        <v>2.2200000000000001E-2</v>
      </c>
      <c r="F50" s="9" t="str">
        <f t="shared" si="0"/>
        <v>***</v>
      </c>
      <c r="G50" s="9">
        <v>1.8800000000000001E-2</v>
      </c>
      <c r="H50" s="9" t="str">
        <f t="shared" si="0"/>
        <v>***</v>
      </c>
      <c r="I50" s="9">
        <v>1.6E-2</v>
      </c>
      <c r="J50" s="9" t="str">
        <f t="shared" si="0"/>
        <v>***</v>
      </c>
      <c r="K50" s="9"/>
      <c r="L50" s="9" t="str">
        <f t="shared" si="0"/>
        <v>***</v>
      </c>
      <c r="M50" s="9"/>
      <c r="N50" s="9" t="str">
        <f t="shared" si="2"/>
        <v>***</v>
      </c>
      <c r="O50" s="9"/>
      <c r="P50" s="9" t="str">
        <f t="shared" si="2"/>
        <v>***</v>
      </c>
      <c r="Q50" s="9"/>
      <c r="R50" s="9" t="str">
        <f t="shared" si="2"/>
        <v>***</v>
      </c>
      <c r="S50" s="9">
        <v>6.9800000000000001E-2</v>
      </c>
      <c r="T50" s="9" t="str">
        <f t="shared" si="2"/>
        <v>***</v>
      </c>
      <c r="U50" s="9">
        <v>4.6399999999999997E-2</v>
      </c>
      <c r="V50" s="9" t="str">
        <f t="shared" si="2"/>
        <v>***</v>
      </c>
      <c r="W50" s="9">
        <v>1.7100000000000001E-2</v>
      </c>
      <c r="X50" s="9" t="str">
        <f t="shared" si="3"/>
        <v>***</v>
      </c>
      <c r="Y50" s="9">
        <v>2.3800000000000002E-2</v>
      </c>
      <c r="Z50" s="9" t="str">
        <f t="shared" si="3"/>
        <v>***</v>
      </c>
      <c r="AA50" s="9"/>
      <c r="AB50" s="9" t="str">
        <f t="shared" si="3"/>
        <v>***</v>
      </c>
      <c r="AC50" s="9"/>
      <c r="AD50" s="9" t="str">
        <f t="shared" si="3"/>
        <v>***</v>
      </c>
    </row>
    <row r="51" spans="1:30" x14ac:dyDescent="0.25">
      <c r="B51" s="9">
        <v>5.0000000000000001E-3</v>
      </c>
      <c r="C51" s="9" t="str">
        <f t="shared" si="0"/>
        <v/>
      </c>
      <c r="D51" s="9" t="str">
        <f>+CONCATENATE("(",ROUND(B51,3),")")</f>
        <v>(0,005)</v>
      </c>
      <c r="E51" s="9">
        <v>5.0000000000000001E-3</v>
      </c>
      <c r="F51" s="9" t="str">
        <f t="shared" si="0"/>
        <v/>
      </c>
      <c r="G51" s="9">
        <v>6.0000000000000001E-3</v>
      </c>
      <c r="H51" s="9" t="str">
        <f t="shared" si="0"/>
        <v/>
      </c>
      <c r="I51" s="9">
        <v>6.0000000000000001E-3</v>
      </c>
      <c r="J51" s="9" t="str">
        <f t="shared" si="0"/>
        <v/>
      </c>
      <c r="K51" s="9"/>
      <c r="L51" s="9" t="str">
        <f t="shared" si="0"/>
        <v/>
      </c>
      <c r="M51" s="9"/>
      <c r="N51" s="9" t="str">
        <f t="shared" si="2"/>
        <v/>
      </c>
      <c r="O51" s="9"/>
      <c r="P51" s="9" t="str">
        <f t="shared" si="2"/>
        <v/>
      </c>
      <c r="Q51" s="9"/>
      <c r="R51" s="9" t="str">
        <f t="shared" si="2"/>
        <v/>
      </c>
      <c r="S51" s="9">
        <v>0.01</v>
      </c>
      <c r="T51" s="9" t="str">
        <f t="shared" si="2"/>
        <v/>
      </c>
      <c r="U51" s="9">
        <v>1.0999999999999999E-2</v>
      </c>
      <c r="V51" s="9" t="str">
        <f t="shared" si="2"/>
        <v/>
      </c>
      <c r="W51" s="9">
        <v>5.0000000000000001E-3</v>
      </c>
      <c r="X51" s="9" t="str">
        <f t="shared" si="3"/>
        <v/>
      </c>
      <c r="Y51" s="9">
        <v>5.0000000000000001E-3</v>
      </c>
      <c r="Z51" s="9" t="str">
        <f t="shared" si="3"/>
        <v/>
      </c>
      <c r="AA51" s="9"/>
      <c r="AB51" s="9" t="str">
        <f t="shared" si="3"/>
        <v/>
      </c>
      <c r="AC51" s="9"/>
      <c r="AD51" s="9" t="str">
        <f t="shared" si="3"/>
        <v/>
      </c>
    </row>
    <row r="52" spans="1:30" x14ac:dyDescent="0.25">
      <c r="B52" s="9">
        <v>1E-3</v>
      </c>
      <c r="C52" s="9" t="str">
        <f t="shared" si="0"/>
        <v/>
      </c>
      <c r="D52" s="9"/>
      <c r="E52" s="9">
        <v>0</v>
      </c>
      <c r="F52" s="9" t="str">
        <f t="shared" si="0"/>
        <v/>
      </c>
      <c r="G52" s="9">
        <v>1E-3</v>
      </c>
      <c r="H52" s="9" t="str">
        <f t="shared" si="0"/>
        <v/>
      </c>
      <c r="I52" s="9">
        <v>8.0000000000000002E-3</v>
      </c>
      <c r="J52" s="9" t="str">
        <f t="shared" si="0"/>
        <v/>
      </c>
      <c r="K52" s="9"/>
      <c r="L52" s="9" t="str">
        <f t="shared" si="0"/>
        <v/>
      </c>
      <c r="M52" s="9"/>
      <c r="N52" s="9" t="str">
        <f t="shared" si="2"/>
        <v/>
      </c>
      <c r="O52" s="9"/>
      <c r="P52" s="9" t="str">
        <f t="shared" si="2"/>
        <v/>
      </c>
      <c r="Q52" s="9"/>
      <c r="R52" s="9" t="str">
        <f t="shared" si="2"/>
        <v/>
      </c>
      <c r="S52" s="9">
        <v>0</v>
      </c>
      <c r="T52" s="9" t="str">
        <f t="shared" si="2"/>
        <v/>
      </c>
      <c r="U52" s="9">
        <v>0</v>
      </c>
      <c r="V52" s="9" t="str">
        <f t="shared" si="2"/>
        <v/>
      </c>
      <c r="W52" s="9">
        <v>0</v>
      </c>
      <c r="X52" s="9" t="str">
        <f t="shared" si="3"/>
        <v/>
      </c>
      <c r="Y52" s="9">
        <v>0</v>
      </c>
      <c r="Z52" s="9" t="str">
        <f t="shared" si="3"/>
        <v/>
      </c>
      <c r="AA52" s="9"/>
      <c r="AB52" s="9" t="str">
        <f t="shared" si="3"/>
        <v/>
      </c>
      <c r="AC52" s="9"/>
      <c r="AD52" s="9" t="str">
        <f t="shared" si="3"/>
        <v/>
      </c>
    </row>
    <row r="53" spans="1:30" x14ac:dyDescent="0.25">
      <c r="A53" t="s">
        <v>46</v>
      </c>
      <c r="B53" s="9">
        <v>-0.18079999999999999</v>
      </c>
      <c r="C53" s="9" t="str">
        <f t="shared" si="0"/>
        <v>**</v>
      </c>
      <c r="D53" s="9" t="str">
        <f>+CONCATENATE(ROUND(B53,3), " ",C53)</f>
        <v>-0,181 **</v>
      </c>
      <c r="E53" s="9">
        <v>-0.27189999999999998</v>
      </c>
      <c r="F53" s="9" t="str">
        <f t="shared" si="0"/>
        <v>***</v>
      </c>
      <c r="G53" s="9"/>
      <c r="H53" s="9" t="str">
        <f t="shared" si="0"/>
        <v>***</v>
      </c>
      <c r="I53" s="9"/>
      <c r="J53" s="9" t="str">
        <f t="shared" si="0"/>
        <v>***</v>
      </c>
      <c r="K53" s="9"/>
      <c r="L53" s="9" t="str">
        <f t="shared" si="0"/>
        <v>***</v>
      </c>
      <c r="M53" s="9"/>
      <c r="N53" s="9" t="str">
        <f t="shared" si="2"/>
        <v>***</v>
      </c>
      <c r="O53" s="9">
        <v>-0.8911</v>
      </c>
      <c r="P53" s="9" t="str">
        <f t="shared" si="2"/>
        <v>***</v>
      </c>
      <c r="Q53" s="9">
        <v>-0.74429999999999996</v>
      </c>
      <c r="R53" s="9" t="str">
        <f t="shared" si="2"/>
        <v>***</v>
      </c>
      <c r="S53" s="9"/>
      <c r="T53" s="9" t="str">
        <f t="shared" si="2"/>
        <v>***</v>
      </c>
      <c r="U53" s="9"/>
      <c r="V53" s="9" t="str">
        <f t="shared" si="2"/>
        <v>***</v>
      </c>
      <c r="W53" s="9">
        <v>-0.19209999999999999</v>
      </c>
      <c r="X53" s="9" t="str">
        <f t="shared" si="3"/>
        <v>**</v>
      </c>
      <c r="Y53" s="9">
        <v>-0.26960000000000001</v>
      </c>
      <c r="Z53" s="9" t="str">
        <f t="shared" si="3"/>
        <v>***</v>
      </c>
      <c r="AA53" s="9"/>
      <c r="AB53" s="9" t="str">
        <f t="shared" si="3"/>
        <v>***</v>
      </c>
      <c r="AC53" s="9"/>
      <c r="AD53" s="9" t="str">
        <f t="shared" si="3"/>
        <v>***</v>
      </c>
    </row>
    <row r="54" spans="1:30" x14ac:dyDescent="0.25">
      <c r="B54" s="9">
        <v>8.5000000000000006E-2</v>
      </c>
      <c r="C54" s="9" t="str">
        <f t="shared" si="0"/>
        <v/>
      </c>
      <c r="D54" s="9" t="str">
        <f>+CONCATENATE("(",ROUND(B54,3),")")</f>
        <v>(0,085)</v>
      </c>
      <c r="E54" s="9">
        <v>9.7000000000000003E-2</v>
      </c>
      <c r="F54" s="9" t="str">
        <f t="shared" si="0"/>
        <v/>
      </c>
      <c r="G54" s="9"/>
      <c r="H54" s="9" t="str">
        <f t="shared" si="0"/>
        <v/>
      </c>
      <c r="I54" s="9"/>
      <c r="J54" s="9" t="str">
        <f t="shared" si="0"/>
        <v/>
      </c>
      <c r="K54" s="9"/>
      <c r="L54" s="9" t="str">
        <f t="shared" si="0"/>
        <v/>
      </c>
      <c r="M54" s="9"/>
      <c r="N54" s="9" t="str">
        <f t="shared" si="2"/>
        <v/>
      </c>
      <c r="O54" s="9">
        <v>0.16800000000000001</v>
      </c>
      <c r="P54" s="9" t="str">
        <f t="shared" si="2"/>
        <v/>
      </c>
      <c r="Q54" s="9">
        <v>0.186</v>
      </c>
      <c r="R54" s="9" t="str">
        <f t="shared" si="2"/>
        <v/>
      </c>
      <c r="S54" s="9"/>
      <c r="T54" s="9" t="str">
        <f t="shared" si="2"/>
        <v/>
      </c>
      <c r="U54" s="9"/>
      <c r="V54" s="9" t="str">
        <f t="shared" si="2"/>
        <v/>
      </c>
      <c r="W54" s="9">
        <v>8.3000000000000004E-2</v>
      </c>
      <c r="X54" s="9" t="str">
        <f t="shared" si="3"/>
        <v/>
      </c>
      <c r="Y54" s="9">
        <v>9.5000000000000001E-2</v>
      </c>
      <c r="Z54" s="9" t="str">
        <f t="shared" si="3"/>
        <v/>
      </c>
      <c r="AA54" s="9"/>
      <c r="AB54" s="9" t="str">
        <f t="shared" si="3"/>
        <v/>
      </c>
      <c r="AC54" s="9"/>
      <c r="AD54" s="9" t="str">
        <f t="shared" si="3"/>
        <v/>
      </c>
    </row>
    <row r="55" spans="1:30" x14ac:dyDescent="0.25">
      <c r="B55" s="9">
        <v>3.4000000000000002E-2</v>
      </c>
      <c r="C55" s="9" t="str">
        <f t="shared" si="0"/>
        <v/>
      </c>
      <c r="D55" s="9"/>
      <c r="E55" s="9">
        <v>5.0000000000000001E-3</v>
      </c>
      <c r="F55" s="9" t="str">
        <f t="shared" si="0"/>
        <v/>
      </c>
      <c r="G55" s="9"/>
      <c r="H55" s="9" t="str">
        <f t="shared" si="0"/>
        <v/>
      </c>
      <c r="I55" s="9"/>
      <c r="J55" s="9" t="str">
        <f t="shared" si="0"/>
        <v/>
      </c>
      <c r="K55" s="9"/>
      <c r="L55" s="9" t="str">
        <f t="shared" si="0"/>
        <v/>
      </c>
      <c r="M55" s="9"/>
      <c r="N55" s="9" t="str">
        <f t="shared" si="2"/>
        <v/>
      </c>
      <c r="O55" s="9">
        <v>0</v>
      </c>
      <c r="P55" s="9" t="str">
        <f t="shared" si="2"/>
        <v/>
      </c>
      <c r="Q55" s="9">
        <v>0</v>
      </c>
      <c r="R55" s="9" t="str">
        <f t="shared" si="2"/>
        <v/>
      </c>
      <c r="S55" s="9"/>
      <c r="T55" s="9" t="str">
        <f t="shared" si="2"/>
        <v/>
      </c>
      <c r="U55" s="9"/>
      <c r="V55" s="9" t="str">
        <f t="shared" si="2"/>
        <v/>
      </c>
      <c r="W55" s="9">
        <v>2.1000000000000001E-2</v>
      </c>
      <c r="X55" s="9" t="str">
        <f t="shared" si="3"/>
        <v/>
      </c>
      <c r="Y55" s="9">
        <v>5.0000000000000001E-3</v>
      </c>
      <c r="Z55" s="9" t="str">
        <f t="shared" si="3"/>
        <v/>
      </c>
      <c r="AA55" s="9"/>
      <c r="AB55" s="9" t="str">
        <f t="shared" si="3"/>
        <v/>
      </c>
      <c r="AC55" s="9"/>
      <c r="AD55" s="9" t="str">
        <f t="shared" si="3"/>
        <v/>
      </c>
    </row>
    <row r="56" spans="1:30" x14ac:dyDescent="0.25">
      <c r="A56" t="s">
        <v>47</v>
      </c>
      <c r="B56" s="9">
        <v>-8.9139999999999997E-6</v>
      </c>
      <c r="C56" s="9" t="str">
        <f t="shared" si="0"/>
        <v/>
      </c>
      <c r="D56" s="9" t="str">
        <f>+CONCATENATE(ROUND(B56,3), " ",C56)</f>
        <v xml:space="preserve">0 </v>
      </c>
      <c r="E56" s="9">
        <v>-1.1790000000000001E-5</v>
      </c>
      <c r="F56" s="9" t="str">
        <f t="shared" si="0"/>
        <v/>
      </c>
      <c r="G56" s="9"/>
      <c r="H56" s="9" t="str">
        <f t="shared" si="0"/>
        <v>***</v>
      </c>
      <c r="I56" s="9"/>
      <c r="J56" s="9" t="str">
        <f t="shared" si="0"/>
        <v>***</v>
      </c>
      <c r="K56" s="9">
        <v>3.726E-6</v>
      </c>
      <c r="L56" s="9" t="str">
        <f t="shared" si="0"/>
        <v/>
      </c>
      <c r="M56" s="9">
        <v>7.9000000000000006E-6</v>
      </c>
      <c r="N56" s="9" t="str">
        <f t="shared" si="2"/>
        <v/>
      </c>
      <c r="O56" s="9">
        <v>4.7979999999999998E-5</v>
      </c>
      <c r="P56" s="9" t="str">
        <f t="shared" si="2"/>
        <v>**</v>
      </c>
      <c r="Q56" s="9">
        <v>5.1570000000000003E-5</v>
      </c>
      <c r="R56" s="9" t="str">
        <f t="shared" si="2"/>
        <v>***</v>
      </c>
      <c r="S56" s="9"/>
      <c r="T56" s="9" t="str">
        <f t="shared" si="2"/>
        <v>***</v>
      </c>
      <c r="U56" s="9"/>
      <c r="V56" s="9" t="str">
        <f t="shared" si="2"/>
        <v>***</v>
      </c>
      <c r="W56" s="9"/>
      <c r="X56" s="9" t="str">
        <f t="shared" si="3"/>
        <v>***</v>
      </c>
      <c r="Y56" s="9"/>
      <c r="Z56" s="9" t="str">
        <f t="shared" si="3"/>
        <v>***</v>
      </c>
      <c r="AA56" s="9"/>
      <c r="AB56" s="9" t="str">
        <f t="shared" si="3"/>
        <v>***</v>
      </c>
      <c r="AC56" s="9"/>
      <c r="AD56" s="9" t="str">
        <f t="shared" si="3"/>
        <v>***</v>
      </c>
    </row>
    <row r="57" spans="1:30" x14ac:dyDescent="0.25">
      <c r="B57" s="9">
        <v>9.8700000000000004E-6</v>
      </c>
      <c r="C57" s="9" t="str">
        <f t="shared" si="0"/>
        <v/>
      </c>
      <c r="D57" s="9" t="str">
        <f>+CONCATENATE("(",ROUND(B57,3),")")</f>
        <v>(0)</v>
      </c>
      <c r="E57" s="9">
        <v>9.8400000000000007E-6</v>
      </c>
      <c r="F57" s="9" t="str">
        <f t="shared" si="0"/>
        <v/>
      </c>
      <c r="G57" s="9"/>
      <c r="H57" s="9" t="str">
        <f t="shared" si="0"/>
        <v/>
      </c>
      <c r="I57" s="9"/>
      <c r="J57" s="9" t="str">
        <f t="shared" si="0"/>
        <v/>
      </c>
      <c r="K57" s="9">
        <v>1.1E-5</v>
      </c>
      <c r="L57" s="9" t="str">
        <f t="shared" si="0"/>
        <v/>
      </c>
      <c r="M57" s="9">
        <v>1.08E-5</v>
      </c>
      <c r="N57" s="9" t="str">
        <f t="shared" si="2"/>
        <v/>
      </c>
      <c r="O57" s="9">
        <v>2.0100000000000001E-5</v>
      </c>
      <c r="P57" s="9" t="str">
        <f t="shared" si="2"/>
        <v/>
      </c>
      <c r="Q57" s="9">
        <v>1.91E-5</v>
      </c>
      <c r="R57" s="9" t="str">
        <f t="shared" si="2"/>
        <v/>
      </c>
      <c r="S57" s="9"/>
      <c r="T57" s="9" t="str">
        <f t="shared" si="2"/>
        <v/>
      </c>
      <c r="U57" s="9"/>
      <c r="V57" s="9" t="str">
        <f t="shared" si="2"/>
        <v/>
      </c>
      <c r="W57" s="9"/>
      <c r="X57" s="9" t="str">
        <f t="shared" si="3"/>
        <v/>
      </c>
      <c r="Y57" s="9"/>
      <c r="Z57" s="9" t="str">
        <f t="shared" si="3"/>
        <v/>
      </c>
      <c r="AA57" s="9"/>
      <c r="AB57" s="9" t="str">
        <f t="shared" si="3"/>
        <v/>
      </c>
      <c r="AC57" s="9"/>
      <c r="AD57" s="9" t="str">
        <f t="shared" si="3"/>
        <v/>
      </c>
    </row>
    <row r="58" spans="1:30" x14ac:dyDescent="0.25">
      <c r="A58" s="3"/>
      <c r="B58" s="10">
        <v>0.36699999999999999</v>
      </c>
      <c r="C58" s="9" t="str">
        <f t="shared" si="0"/>
        <v/>
      </c>
      <c r="D58" s="9"/>
      <c r="E58" s="10">
        <v>0.23200000000000001</v>
      </c>
      <c r="F58" s="9" t="str">
        <f t="shared" si="0"/>
        <v/>
      </c>
      <c r="G58" s="10"/>
      <c r="H58" s="9" t="str">
        <f t="shared" si="0"/>
        <v/>
      </c>
      <c r="I58" s="10"/>
      <c r="J58" s="9" t="str">
        <f t="shared" si="0"/>
        <v/>
      </c>
      <c r="K58" s="10">
        <v>0.73499999999999999</v>
      </c>
      <c r="L58" s="9" t="str">
        <f t="shared" si="0"/>
        <v/>
      </c>
      <c r="M58" s="10">
        <v>0.46600000000000003</v>
      </c>
      <c r="N58" s="9" t="str">
        <f t="shared" si="2"/>
        <v/>
      </c>
      <c r="O58" s="10">
        <v>1.7000000000000001E-2</v>
      </c>
      <c r="P58" s="9" t="str">
        <f t="shared" si="2"/>
        <v/>
      </c>
      <c r="Q58" s="10">
        <v>7.0000000000000001E-3</v>
      </c>
      <c r="R58" s="9" t="str">
        <f t="shared" si="2"/>
        <v/>
      </c>
      <c r="S58" s="10"/>
      <c r="T58" s="9" t="str">
        <f t="shared" si="2"/>
        <v/>
      </c>
      <c r="U58" s="10"/>
      <c r="V58" s="9" t="str">
        <f t="shared" si="2"/>
        <v/>
      </c>
      <c r="W58" s="10"/>
      <c r="X58" s="9" t="str">
        <f t="shared" si="3"/>
        <v/>
      </c>
      <c r="Y58" s="10"/>
      <c r="Z58" s="9" t="str">
        <f t="shared" si="3"/>
        <v/>
      </c>
      <c r="AA58" s="10"/>
      <c r="AB58" s="9" t="str">
        <f t="shared" si="3"/>
        <v/>
      </c>
      <c r="AC58" s="10"/>
      <c r="AD58" s="9" t="str">
        <f t="shared" si="3"/>
        <v/>
      </c>
    </row>
    <row r="59" spans="1:3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5">
      <c r="A60" s="2" t="s">
        <v>21</v>
      </c>
      <c r="B60" s="4" t="s">
        <v>22</v>
      </c>
      <c r="C60" s="4"/>
      <c r="D60" s="4"/>
      <c r="E60" s="4" t="s">
        <v>23</v>
      </c>
      <c r="F60" s="4"/>
      <c r="G60" s="4" t="s">
        <v>22</v>
      </c>
      <c r="H60" s="4"/>
      <c r="I60" s="4" t="s">
        <v>23</v>
      </c>
      <c r="J60" s="4"/>
      <c r="K60" s="4" t="s">
        <v>22</v>
      </c>
      <c r="L60" s="4"/>
      <c r="M60" s="4" t="s">
        <v>23</v>
      </c>
      <c r="N60" s="4"/>
      <c r="O60" s="4" t="s">
        <v>22</v>
      </c>
      <c r="P60" s="4"/>
      <c r="Q60" s="4" t="s">
        <v>23</v>
      </c>
      <c r="R60" s="4"/>
      <c r="S60" s="4" t="s">
        <v>22</v>
      </c>
      <c r="T60" s="4"/>
      <c r="U60" s="4" t="s">
        <v>23</v>
      </c>
      <c r="V60" s="4"/>
      <c r="W60" s="4" t="s">
        <v>22</v>
      </c>
      <c r="X60" s="4"/>
      <c r="Y60" s="4" t="s">
        <v>23</v>
      </c>
      <c r="Z60" s="4"/>
      <c r="AA60" s="4" t="s">
        <v>22</v>
      </c>
      <c r="AB60" s="4"/>
      <c r="AC60" s="4" t="s">
        <v>23</v>
      </c>
      <c r="AD60" s="4"/>
    </row>
    <row r="61" spans="1:3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5">
      <c r="A62" t="s">
        <v>24</v>
      </c>
      <c r="B62" s="5">
        <v>392.47</v>
      </c>
      <c r="C62" s="5"/>
      <c r="D62" s="5"/>
      <c r="E62" s="5">
        <v>68.069999999999993</v>
      </c>
      <c r="F62" s="5"/>
      <c r="G62" s="5">
        <v>60.2</v>
      </c>
      <c r="H62" s="5"/>
      <c r="I62" s="5">
        <v>64.45</v>
      </c>
      <c r="J62" s="5"/>
      <c r="K62" s="5">
        <v>16.559999999999999</v>
      </c>
      <c r="L62" s="5"/>
      <c r="M62" s="5">
        <v>9.07</v>
      </c>
      <c r="N62" s="5"/>
      <c r="O62" s="5">
        <v>218.56</v>
      </c>
      <c r="P62" s="5"/>
      <c r="Q62" s="5">
        <v>16.440000000000001</v>
      </c>
      <c r="R62" s="5"/>
      <c r="S62" s="5">
        <v>37.44</v>
      </c>
      <c r="T62" s="5"/>
      <c r="U62" s="5">
        <v>59.86</v>
      </c>
      <c r="V62" s="5"/>
      <c r="W62" s="5">
        <v>647.05999999999995</v>
      </c>
      <c r="X62" s="5"/>
      <c r="Y62" s="5">
        <v>72.040000000000006</v>
      </c>
      <c r="Z62" s="5"/>
      <c r="AA62" s="5">
        <v>16.13</v>
      </c>
      <c r="AB62" s="5"/>
      <c r="AC62" s="5">
        <v>9.11</v>
      </c>
      <c r="AD62" s="5"/>
    </row>
    <row r="63" spans="1:30" x14ac:dyDescent="0.25">
      <c r="A63" t="s">
        <v>25</v>
      </c>
      <c r="B63" s="5">
        <v>2041.69</v>
      </c>
      <c r="C63" s="5"/>
      <c r="D63" s="5"/>
      <c r="E63" s="5">
        <v>197.77</v>
      </c>
      <c r="F63" s="5"/>
      <c r="G63" s="5">
        <v>186.19</v>
      </c>
      <c r="H63" s="5"/>
      <c r="I63" s="5">
        <v>186.49</v>
      </c>
      <c r="J63" s="5"/>
      <c r="K63" s="5">
        <v>66.569999999999993</v>
      </c>
      <c r="L63" s="5"/>
      <c r="M63" s="5">
        <v>23.84</v>
      </c>
      <c r="N63" s="5"/>
      <c r="O63" s="5">
        <v>1228.03</v>
      </c>
      <c r="P63" s="5"/>
      <c r="Q63" s="5">
        <v>127.64</v>
      </c>
      <c r="R63" s="5"/>
      <c r="S63" s="5">
        <v>188.02</v>
      </c>
      <c r="T63" s="5"/>
      <c r="U63" s="5">
        <v>189.52</v>
      </c>
      <c r="V63" s="5"/>
      <c r="W63" s="5">
        <v>1855.32</v>
      </c>
      <c r="X63" s="5"/>
      <c r="Y63" s="5">
        <v>165.09</v>
      </c>
      <c r="Z63" s="5"/>
      <c r="AA63" s="5">
        <v>67.489999999999995</v>
      </c>
      <c r="AB63" s="5"/>
      <c r="AC63" s="5">
        <v>23.92</v>
      </c>
      <c r="AD63" s="5"/>
    </row>
    <row r="64" spans="1:30" x14ac:dyDescent="0.25">
      <c r="A64" t="s">
        <v>26</v>
      </c>
      <c r="B64" s="6">
        <v>0.6470588235294118</v>
      </c>
      <c r="C64" s="6"/>
      <c r="D64" s="6"/>
      <c r="E64" s="6">
        <v>0.7142857142857143</v>
      </c>
      <c r="F64" s="6"/>
      <c r="G64" s="6">
        <v>0.625</v>
      </c>
      <c r="H64" s="6"/>
      <c r="I64" s="6">
        <v>0.81818181818181823</v>
      </c>
      <c r="J64" s="6"/>
      <c r="K64" s="6">
        <v>0.5</v>
      </c>
      <c r="L64" s="6"/>
      <c r="M64" s="6">
        <v>0.69696969696969702</v>
      </c>
      <c r="N64" s="6"/>
      <c r="O64" s="6">
        <v>0.63636363636363635</v>
      </c>
      <c r="P64" s="6"/>
      <c r="Q64" s="6">
        <v>0.66666666666666663</v>
      </c>
      <c r="R64" s="6"/>
      <c r="S64" s="6">
        <v>0.45454545454545447</v>
      </c>
      <c r="T64" s="6"/>
      <c r="U64" s="6">
        <v>0.69444444444444442</v>
      </c>
      <c r="V64" s="6"/>
      <c r="W64" s="6">
        <v>0.88888888888888884</v>
      </c>
      <c r="X64" s="6"/>
      <c r="Y64" s="6">
        <v>0.88235294117647056</v>
      </c>
      <c r="Z64" s="6"/>
      <c r="AA64" s="6">
        <v>0.5</v>
      </c>
      <c r="AB64" s="6"/>
      <c r="AC64" s="6">
        <v>0.69696969696969702</v>
      </c>
      <c r="AD64" s="6"/>
    </row>
    <row r="65" spans="1:30" x14ac:dyDescent="0.25">
      <c r="A65" s="3" t="s">
        <v>27</v>
      </c>
      <c r="B65" s="7">
        <v>0.23529411764705879</v>
      </c>
      <c r="C65" s="7"/>
      <c r="D65" s="7"/>
      <c r="E65" s="7">
        <v>0.52380952380952384</v>
      </c>
      <c r="F65" s="7"/>
      <c r="G65" s="7">
        <v>0.375</v>
      </c>
      <c r="H65" s="7"/>
      <c r="I65" s="7">
        <v>0.54545454545454541</v>
      </c>
      <c r="J65" s="7"/>
      <c r="K65" s="7">
        <v>0.375</v>
      </c>
      <c r="L65" s="7"/>
      <c r="M65" s="7">
        <v>0.48484848484848492</v>
      </c>
      <c r="N65" s="7"/>
      <c r="O65" s="7">
        <v>0.1818181818181818</v>
      </c>
      <c r="P65" s="7"/>
      <c r="Q65" s="7">
        <v>0.22222222222222221</v>
      </c>
      <c r="R65" s="7"/>
      <c r="S65" s="7">
        <v>0.1818181818181818</v>
      </c>
      <c r="T65" s="7"/>
      <c r="U65" s="7">
        <v>0.52777777777777779</v>
      </c>
      <c r="V65" s="7"/>
      <c r="W65" s="7">
        <v>0.44444444444444442</v>
      </c>
      <c r="X65" s="7"/>
      <c r="Y65" s="7">
        <v>0.5</v>
      </c>
      <c r="Z65" s="7"/>
      <c r="AA65" s="7">
        <v>0.375</v>
      </c>
      <c r="AB65" s="7"/>
      <c r="AC65" s="7">
        <v>0.48484848484848492</v>
      </c>
      <c r="AD65" s="7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D65"/>
  <sheetViews>
    <sheetView workbookViewId="0">
      <selection activeCell="D1" sqref="D1:D1048576"/>
    </sheetView>
  </sheetViews>
  <sheetFormatPr baseColWidth="10" defaultColWidth="9.140625" defaultRowHeight="15" x14ac:dyDescent="0.25"/>
  <cols>
    <col min="1" max="1" width="76.85546875" bestFit="1" customWidth="1"/>
    <col min="3" max="4" width="10.7109375" customWidth="1"/>
    <col min="6" max="6" width="10.7109375" customWidth="1"/>
    <col min="8" max="8" width="10.7109375" customWidth="1"/>
    <col min="10" max="10" width="10.7109375" customWidth="1"/>
    <col min="12" max="12" width="10.7109375" customWidth="1"/>
    <col min="14" max="14" width="10.7109375" customWidth="1"/>
    <col min="16" max="16" width="10.7109375" customWidth="1"/>
    <col min="18" max="18" width="10.7109375" customWidth="1"/>
    <col min="20" max="20" width="10.7109375" customWidth="1"/>
    <col min="22" max="22" width="10.7109375" customWidth="1"/>
    <col min="24" max="24" width="10.7109375" customWidth="1"/>
    <col min="26" max="26" width="10.7109375" customWidth="1"/>
    <col min="28" max="28" width="10.7109375" customWidth="1"/>
    <col min="30" max="30" width="10.7109375" customWidth="1"/>
  </cols>
  <sheetData>
    <row r="1" spans="1:30" x14ac:dyDescent="0.25">
      <c r="A1" s="12" t="s">
        <v>0</v>
      </c>
      <c r="B1" s="1" t="s">
        <v>1</v>
      </c>
      <c r="C1" s="1"/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  <c r="M1" s="1" t="s">
        <v>6</v>
      </c>
      <c r="N1" s="1"/>
      <c r="O1" s="1" t="s">
        <v>7</v>
      </c>
      <c r="P1" s="1"/>
      <c r="Q1" s="1" t="s">
        <v>8</v>
      </c>
      <c r="R1" s="1"/>
      <c r="S1" s="1" t="s">
        <v>9</v>
      </c>
      <c r="T1" s="1"/>
      <c r="U1" s="1" t="s">
        <v>10</v>
      </c>
      <c r="V1" s="1"/>
      <c r="W1" s="1" t="s">
        <v>11</v>
      </c>
      <c r="X1" s="1"/>
      <c r="Y1" s="1" t="s">
        <v>12</v>
      </c>
      <c r="Z1" s="1"/>
      <c r="AA1" s="1" t="s">
        <v>13</v>
      </c>
      <c r="AB1" s="1"/>
      <c r="AC1" s="1" t="s">
        <v>14</v>
      </c>
      <c r="AD1" s="1"/>
    </row>
    <row r="2" spans="1:30" x14ac:dyDescent="0.25">
      <c r="A2" s="2" t="s">
        <v>15</v>
      </c>
      <c r="B2" s="4" t="s">
        <v>16</v>
      </c>
      <c r="C2" s="4"/>
      <c r="D2" s="4"/>
      <c r="E2" s="4" t="s">
        <v>16</v>
      </c>
      <c r="F2" s="4"/>
      <c r="G2" s="4" t="s">
        <v>16</v>
      </c>
      <c r="H2" s="4"/>
      <c r="I2" s="4" t="s">
        <v>16</v>
      </c>
      <c r="J2" s="4"/>
      <c r="K2" s="4" t="s">
        <v>16</v>
      </c>
      <c r="L2" s="4"/>
      <c r="M2" s="4" t="s">
        <v>16</v>
      </c>
      <c r="N2" s="4"/>
      <c r="O2" s="4" t="s">
        <v>16</v>
      </c>
      <c r="P2" s="4"/>
      <c r="Q2" s="4" t="s">
        <v>16</v>
      </c>
      <c r="R2" s="4"/>
      <c r="S2" s="4" t="s">
        <v>16</v>
      </c>
      <c r="T2" s="4"/>
      <c r="U2" s="4" t="s">
        <v>16</v>
      </c>
      <c r="V2" s="4"/>
      <c r="W2" s="4" t="s">
        <v>16</v>
      </c>
      <c r="X2" s="4"/>
      <c r="Y2" s="4" t="s">
        <v>16</v>
      </c>
      <c r="Z2" s="4"/>
      <c r="AA2" s="4" t="s">
        <v>16</v>
      </c>
      <c r="AB2" s="4"/>
      <c r="AC2" s="4" t="s">
        <v>16</v>
      </c>
      <c r="AD2" s="4"/>
    </row>
    <row r="3" spans="1:3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t="s">
        <v>17</v>
      </c>
      <c r="B4" s="8" t="s">
        <v>30</v>
      </c>
      <c r="C4" s="8"/>
      <c r="D4" s="8"/>
      <c r="E4" s="8" t="s">
        <v>30</v>
      </c>
      <c r="F4" s="8"/>
      <c r="G4" s="8" t="s">
        <v>30</v>
      </c>
      <c r="H4" s="8"/>
      <c r="I4" s="8" t="s">
        <v>30</v>
      </c>
      <c r="J4" s="8"/>
      <c r="K4" s="8" t="s">
        <v>30</v>
      </c>
      <c r="L4" s="8"/>
      <c r="M4" s="8" t="s">
        <v>30</v>
      </c>
      <c r="N4" s="8"/>
      <c r="O4" s="8" t="s">
        <v>30</v>
      </c>
      <c r="P4" s="8"/>
      <c r="Q4" s="8" t="s">
        <v>30</v>
      </c>
      <c r="R4" s="8"/>
      <c r="S4" s="8" t="s">
        <v>30</v>
      </c>
      <c r="T4" s="8"/>
      <c r="U4" s="8" t="s">
        <v>30</v>
      </c>
      <c r="V4" s="8"/>
      <c r="W4" s="8" t="s">
        <v>30</v>
      </c>
      <c r="X4" s="8"/>
      <c r="Y4" s="8" t="s">
        <v>30</v>
      </c>
      <c r="Z4" s="8"/>
      <c r="AA4" s="8" t="s">
        <v>30</v>
      </c>
      <c r="AB4" s="8"/>
      <c r="AC4" s="8" t="s">
        <v>30</v>
      </c>
      <c r="AD4" s="8"/>
    </row>
    <row r="5" spans="1:30" x14ac:dyDescent="0.25">
      <c r="A5" t="s">
        <v>19</v>
      </c>
      <c r="B5" s="6">
        <v>0.51500000000000001</v>
      </c>
      <c r="C5" s="6"/>
      <c r="D5" s="6"/>
      <c r="E5" s="6">
        <v>0.57599999999999996</v>
      </c>
      <c r="F5" s="6"/>
      <c r="G5" s="6">
        <v>0.50600000000000001</v>
      </c>
      <c r="H5" s="6"/>
      <c r="I5" s="6">
        <v>0.56499999999999995</v>
      </c>
      <c r="J5" s="6"/>
      <c r="K5" s="6">
        <v>4.9000000000000002E-2</v>
      </c>
      <c r="L5" s="6"/>
      <c r="M5" s="6">
        <v>0.20300000000000001</v>
      </c>
      <c r="N5" s="6"/>
      <c r="O5" s="6">
        <v>0.11</v>
      </c>
      <c r="P5" s="6"/>
      <c r="Q5" s="6">
        <v>0.223</v>
      </c>
      <c r="R5" s="6"/>
      <c r="S5" s="6">
        <v>0.504</v>
      </c>
      <c r="T5" s="6"/>
      <c r="U5" s="6">
        <v>0.56299999999999994</v>
      </c>
      <c r="V5" s="6"/>
      <c r="W5" s="6">
        <v>0.50900000000000001</v>
      </c>
      <c r="X5" s="6"/>
      <c r="Y5" s="6">
        <v>0.57099999999999995</v>
      </c>
      <c r="Z5" s="6"/>
      <c r="AA5" s="6">
        <v>0.496</v>
      </c>
      <c r="AB5" s="6"/>
      <c r="AC5" s="6">
        <v>0.56100000000000005</v>
      </c>
      <c r="AD5" s="6"/>
    </row>
    <row r="6" spans="1:30" x14ac:dyDescent="0.25">
      <c r="A6" s="3" t="s">
        <v>20</v>
      </c>
      <c r="B6" s="7">
        <v>0.496</v>
      </c>
      <c r="C6" s="7"/>
      <c r="D6" s="7"/>
      <c r="E6" s="7">
        <v>0.53200000000000003</v>
      </c>
      <c r="F6" s="7"/>
      <c r="G6" s="7">
        <v>0.498</v>
      </c>
      <c r="H6" s="7"/>
      <c r="I6" s="7">
        <v>0.53100000000000003</v>
      </c>
      <c r="J6" s="7"/>
      <c r="K6" s="7">
        <v>3.3000000000000002E-2</v>
      </c>
      <c r="L6" s="7"/>
      <c r="M6" s="7">
        <v>0.14000000000000001</v>
      </c>
      <c r="N6" s="7"/>
      <c r="O6" s="7">
        <v>8.7999999999999995E-2</v>
      </c>
      <c r="P6" s="7"/>
      <c r="Q6" s="7">
        <v>0.155</v>
      </c>
      <c r="R6" s="7"/>
      <c r="S6" s="7">
        <v>0.49199999999999999</v>
      </c>
      <c r="T6" s="7"/>
      <c r="U6" s="7">
        <v>0.52500000000000002</v>
      </c>
      <c r="V6" s="7"/>
      <c r="W6" s="7">
        <v>0.5</v>
      </c>
      <c r="X6" s="7"/>
      <c r="Y6" s="7">
        <v>0.53600000000000003</v>
      </c>
      <c r="Z6" s="7"/>
      <c r="AA6" s="7">
        <v>0.48699999999999999</v>
      </c>
      <c r="AB6" s="7"/>
      <c r="AC6" s="7">
        <v>0.52700000000000002</v>
      </c>
      <c r="AD6" s="7"/>
    </row>
    <row r="7" spans="1:3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13" t="s">
        <v>31</v>
      </c>
      <c r="B8" s="9">
        <v>16.886600000000001</v>
      </c>
      <c r="C8" s="9" t="str">
        <f>+IF($A8&lt;&gt;"",IF(B10&lt;0.01,"***",IF(B10&lt;0.05,"**",IF(B10&lt;0.1,"*",""))),"")</f>
        <v>***</v>
      </c>
      <c r="D8" s="9" t="str">
        <f>+CONCATENATE(ROUND(B8,3), " ",C8)</f>
        <v>16,887 ***</v>
      </c>
      <c r="E8" s="9">
        <v>16.4876</v>
      </c>
      <c r="F8" s="9" t="str">
        <f>+IF($A8&lt;&gt;"",IF(E10&lt;0.01,"***",IF(E10&lt;0.05,"**",IF(E10&lt;0.1,"*",""))),"")</f>
        <v>***</v>
      </c>
      <c r="G8" s="9">
        <v>17.073499999999999</v>
      </c>
      <c r="H8" s="9" t="str">
        <f>+IF($A8&lt;&gt;"",IF(G10&lt;0.01,"***",IF(G10&lt;0.05,"**",IF(G10&lt;0.1,"*",""))),"")</f>
        <v>***</v>
      </c>
      <c r="I8" s="9">
        <v>16.93</v>
      </c>
      <c r="J8" s="9" t="str">
        <f>+IF($A8&lt;&gt;"",IF(I10&lt;0.01,"***",IF(I10&lt;0.05,"**",IF(I10&lt;0.1,"*",""))),"")</f>
        <v>***</v>
      </c>
      <c r="K8" s="9">
        <v>53.0105</v>
      </c>
      <c r="L8" s="9" t="str">
        <f>+IF($A8&lt;&gt;"",IF(K10&lt;0.01,"***",IF(K10&lt;0.05,"**",IF(K10&lt;0.1,"*",""))),"")</f>
        <v>***</v>
      </c>
      <c r="M8" s="9">
        <v>49.775199999999998</v>
      </c>
      <c r="N8" s="9" t="str">
        <f>+IF($A8&lt;&gt;"",IF(M10&lt;0.01,"***",IF(M10&lt;0.05,"**",IF(M10&lt;0.1,"*",""))),"")</f>
        <v>***</v>
      </c>
      <c r="O8" s="9">
        <v>52.631599999999999</v>
      </c>
      <c r="P8" s="9" t="str">
        <f>+IF($A8&lt;&gt;"",IF(O10&lt;0.01,"***",IF(O10&lt;0.05,"**",IF(O10&lt;0.1,"*",""))),"")</f>
        <v>***</v>
      </c>
      <c r="Q8" s="9">
        <v>49.816000000000003</v>
      </c>
      <c r="R8" s="9" t="str">
        <f>+IF($A8&lt;&gt;"",IF(Q10&lt;0.01,"***",IF(Q10&lt;0.05,"**",IF(Q10&lt;0.1,"*",""))),"")</f>
        <v>***</v>
      </c>
      <c r="S8" s="9">
        <v>17.744</v>
      </c>
      <c r="T8" s="9" t="str">
        <f>+IF($A8&lt;&gt;"",IF(S10&lt;0.01,"***",IF(S10&lt;0.05,"**",IF(S10&lt;0.1,"*",""))),"")</f>
        <v>***</v>
      </c>
      <c r="U8" s="9">
        <v>17.259499999999999</v>
      </c>
      <c r="V8" s="9" t="str">
        <f>+IF($A8&lt;&gt;"",IF(U10&lt;0.01,"***",IF(U10&lt;0.05,"**",IF(U10&lt;0.1,"*",""))),"")</f>
        <v>***</v>
      </c>
      <c r="W8" s="9">
        <v>18.480499999999999</v>
      </c>
      <c r="X8" s="9" t="str">
        <f>+IF($A8&lt;&gt;"",IF(W10&lt;0.01,"***",IF(W10&lt;0.05,"**",IF(W10&lt;0.1,"*",""))),"")</f>
        <v>***</v>
      </c>
      <c r="Y8" s="9">
        <v>17.278700000000001</v>
      </c>
      <c r="Z8" s="9" t="str">
        <f>+IF($A8&lt;&gt;"",IF(Y10&lt;0.01,"***",IF(Y10&lt;0.05,"**",IF(Y10&lt;0.1,"*",""))),"")</f>
        <v>***</v>
      </c>
      <c r="AA8" s="9">
        <v>16.840800000000002</v>
      </c>
      <c r="AB8" s="9" t="str">
        <f>+IF($A8&lt;&gt;"",IF(AA10&lt;0.01,"***",IF(AA10&lt;0.05,"**",IF(AA10&lt;0.1,"*",""))),"")</f>
        <v>***</v>
      </c>
      <c r="AC8" s="9">
        <v>16.957699999999999</v>
      </c>
      <c r="AD8" s="9" t="str">
        <f>+IF($A8&lt;&gt;"",IF(AC10&lt;0.01,"***",IF(AC10&lt;0.05,"**",IF(AC10&lt;0.1,"*",""))),"")</f>
        <v>***</v>
      </c>
    </row>
    <row r="9" spans="1:30" x14ac:dyDescent="0.25">
      <c r="A9" s="14"/>
      <c r="B9" s="9">
        <v>2.0720000000000001</v>
      </c>
      <c r="C9" s="9" t="str">
        <f t="shared" ref="C9:N58" si="0">+IF($A9&lt;&gt;"",IF(B11&lt;0.01,"***",IF(B11&lt;0.05,"**",IF(B11&lt;0.1,"*",""))),"")</f>
        <v/>
      </c>
      <c r="D9" s="9" t="str">
        <f>+CONCATENATE("(",ROUND(B9,3),")")</f>
        <v>(2,072)</v>
      </c>
      <c r="E9" s="9">
        <v>2.024</v>
      </c>
      <c r="F9" s="9" t="str">
        <f t="shared" si="0"/>
        <v/>
      </c>
      <c r="G9" s="9">
        <v>2.02</v>
      </c>
      <c r="H9" s="9" t="str">
        <f t="shared" si="0"/>
        <v/>
      </c>
      <c r="I9" s="9">
        <v>1.9850000000000001</v>
      </c>
      <c r="J9" s="9" t="str">
        <f t="shared" si="0"/>
        <v/>
      </c>
      <c r="K9" s="9">
        <v>0.90700000000000003</v>
      </c>
      <c r="L9" s="9" t="str">
        <f t="shared" si="0"/>
        <v/>
      </c>
      <c r="M9" s="9">
        <v>0.89500000000000002</v>
      </c>
      <c r="N9" s="9" t="str">
        <f t="shared" si="0"/>
        <v/>
      </c>
      <c r="O9" s="9">
        <v>0.92100000000000004</v>
      </c>
      <c r="P9" s="9" t="str">
        <f t="shared" ref="P9:AD43" si="1">+IF($A9&lt;&gt;"",IF(O11&lt;0.01,"***",IF(O11&lt;0.05,"**",IF(O11&lt;0.1,"*",""))),"")</f>
        <v/>
      </c>
      <c r="Q9" s="9">
        <v>0.92900000000000005</v>
      </c>
      <c r="R9" s="9" t="str">
        <f t="shared" si="1"/>
        <v/>
      </c>
      <c r="S9" s="9">
        <v>2.056</v>
      </c>
      <c r="T9" s="9" t="str">
        <f t="shared" si="1"/>
        <v/>
      </c>
      <c r="U9" s="9">
        <v>2.008</v>
      </c>
      <c r="V9" s="9" t="str">
        <f t="shared" si="1"/>
        <v/>
      </c>
      <c r="W9" s="9">
        <v>1.8320000000000001</v>
      </c>
      <c r="X9" s="9" t="str">
        <f t="shared" si="1"/>
        <v/>
      </c>
      <c r="Y9" s="9">
        <v>1.802</v>
      </c>
      <c r="Z9" s="9" t="str">
        <f t="shared" si="1"/>
        <v/>
      </c>
      <c r="AA9" s="9">
        <v>2.0230000000000001</v>
      </c>
      <c r="AB9" s="9" t="str">
        <f t="shared" si="1"/>
        <v/>
      </c>
      <c r="AC9" s="9">
        <v>1.9530000000000001</v>
      </c>
      <c r="AD9" s="9" t="str">
        <f t="shared" si="1"/>
        <v/>
      </c>
    </row>
    <row r="10" spans="1:30" x14ac:dyDescent="0.25">
      <c r="A10" s="14"/>
      <c r="B10" s="9">
        <v>0</v>
      </c>
      <c r="C10" s="9" t="str">
        <f t="shared" si="0"/>
        <v/>
      </c>
      <c r="D10" s="9"/>
      <c r="E10" s="9">
        <v>0</v>
      </c>
      <c r="F10" s="9" t="str">
        <f t="shared" si="0"/>
        <v/>
      </c>
      <c r="G10" s="9">
        <v>0</v>
      </c>
      <c r="H10" s="9" t="str">
        <f t="shared" si="0"/>
        <v/>
      </c>
      <c r="I10" s="9">
        <v>0</v>
      </c>
      <c r="J10" s="9" t="str">
        <f t="shared" si="0"/>
        <v/>
      </c>
      <c r="K10" s="9">
        <v>0</v>
      </c>
      <c r="L10" s="9" t="str">
        <f t="shared" si="0"/>
        <v/>
      </c>
      <c r="M10" s="9">
        <v>0</v>
      </c>
      <c r="N10" s="9" t="str">
        <f t="shared" si="0"/>
        <v/>
      </c>
      <c r="O10" s="9">
        <v>0</v>
      </c>
      <c r="P10" s="9" t="str">
        <f t="shared" si="1"/>
        <v/>
      </c>
      <c r="Q10" s="9">
        <v>0</v>
      </c>
      <c r="R10" s="9" t="str">
        <f t="shared" si="1"/>
        <v/>
      </c>
      <c r="S10" s="9">
        <v>0</v>
      </c>
      <c r="T10" s="9" t="str">
        <f t="shared" si="1"/>
        <v/>
      </c>
      <c r="U10" s="9">
        <v>0</v>
      </c>
      <c r="V10" s="9" t="str">
        <f t="shared" si="1"/>
        <v/>
      </c>
      <c r="W10" s="9">
        <v>0</v>
      </c>
      <c r="X10" s="9" t="str">
        <f t="shared" si="1"/>
        <v/>
      </c>
      <c r="Y10" s="9">
        <v>0</v>
      </c>
      <c r="Z10" s="9" t="str">
        <f t="shared" si="1"/>
        <v/>
      </c>
      <c r="AA10" s="9">
        <v>0</v>
      </c>
      <c r="AB10" s="9" t="str">
        <f t="shared" si="1"/>
        <v/>
      </c>
      <c r="AC10" s="9">
        <v>0</v>
      </c>
      <c r="AD10" s="9" t="str">
        <f t="shared" si="1"/>
        <v/>
      </c>
    </row>
    <row r="11" spans="1:30" x14ac:dyDescent="0.25">
      <c r="A11" t="s">
        <v>32</v>
      </c>
      <c r="B11" s="9">
        <v>-6.9999999999999999E-4</v>
      </c>
      <c r="C11" s="9" t="str">
        <f t="shared" si="0"/>
        <v/>
      </c>
      <c r="D11" s="9" t="str">
        <f>+CONCATENATE(ROUND(B11,3), " ",C11)</f>
        <v xml:space="preserve">-0,001 </v>
      </c>
      <c r="E11" s="9">
        <v>-6.9999999999999999E-4</v>
      </c>
      <c r="F11" s="9" t="str">
        <f t="shared" si="0"/>
        <v/>
      </c>
      <c r="G11" s="9">
        <v>-8.0000000000000004E-4</v>
      </c>
      <c r="H11" s="9" t="str">
        <f t="shared" si="0"/>
        <v/>
      </c>
      <c r="I11" s="9">
        <v>-8.9999999999999998E-4</v>
      </c>
      <c r="J11" s="9" t="str">
        <f t="shared" si="0"/>
        <v/>
      </c>
      <c r="K11" s="9">
        <v>-2.0000000000000001E-4</v>
      </c>
      <c r="L11" s="9" t="str">
        <f t="shared" si="0"/>
        <v/>
      </c>
      <c r="M11" s="9">
        <v>-3.4990000000000002E-5</v>
      </c>
      <c r="N11" s="9" t="str">
        <f t="shared" si="0"/>
        <v/>
      </c>
      <c r="O11" s="9">
        <v>-1E-4</v>
      </c>
      <c r="P11" s="9" t="str">
        <f t="shared" si="1"/>
        <v/>
      </c>
      <c r="Q11" s="9">
        <v>-2.0000000000000001E-4</v>
      </c>
      <c r="R11" s="9" t="str">
        <f t="shared" si="1"/>
        <v/>
      </c>
      <c r="S11" s="9"/>
      <c r="T11" s="9" t="str">
        <f t="shared" si="1"/>
        <v>***</v>
      </c>
      <c r="U11" s="9"/>
      <c r="V11" s="9" t="str">
        <f t="shared" si="1"/>
        <v>***</v>
      </c>
      <c r="W11" s="9"/>
      <c r="X11" s="9" t="str">
        <f t="shared" si="1"/>
        <v>***</v>
      </c>
      <c r="Y11" s="9"/>
      <c r="Z11" s="9" t="str">
        <f t="shared" si="1"/>
        <v>***</v>
      </c>
      <c r="AA11" s="9"/>
      <c r="AB11" s="9" t="str">
        <f t="shared" si="1"/>
        <v>***</v>
      </c>
      <c r="AC11" s="9"/>
      <c r="AD11" s="9" t="str">
        <f t="shared" si="1"/>
        <v>***</v>
      </c>
    </row>
    <row r="12" spans="1:30" x14ac:dyDescent="0.25">
      <c r="B12" s="9">
        <v>1E-3</v>
      </c>
      <c r="C12" s="9" t="str">
        <f t="shared" si="0"/>
        <v/>
      </c>
      <c r="D12" s="9" t="str">
        <f>+CONCATENATE("(",ROUND(B12,3),")")</f>
        <v>(0,001)</v>
      </c>
      <c r="E12" s="9">
        <v>1E-3</v>
      </c>
      <c r="F12" s="9" t="str">
        <f t="shared" si="0"/>
        <v/>
      </c>
      <c r="G12" s="9">
        <v>1E-3</v>
      </c>
      <c r="H12" s="9" t="str">
        <f t="shared" si="0"/>
        <v/>
      </c>
      <c r="I12" s="9">
        <v>1E-3</v>
      </c>
      <c r="J12" s="9" t="str">
        <f t="shared" si="0"/>
        <v/>
      </c>
      <c r="K12" s="9">
        <v>1E-3</v>
      </c>
      <c r="L12" s="9" t="str">
        <f t="shared" si="0"/>
        <v/>
      </c>
      <c r="M12" s="9">
        <v>1E-3</v>
      </c>
      <c r="N12" s="9" t="str">
        <f t="shared" si="0"/>
        <v/>
      </c>
      <c r="O12" s="9">
        <v>1E-3</v>
      </c>
      <c r="P12" s="9" t="str">
        <f t="shared" si="1"/>
        <v/>
      </c>
      <c r="Q12" s="9">
        <v>1E-3</v>
      </c>
      <c r="R12" s="9" t="str">
        <f t="shared" si="1"/>
        <v/>
      </c>
      <c r="S12" s="9"/>
      <c r="T12" s="9" t="str">
        <f t="shared" si="1"/>
        <v/>
      </c>
      <c r="U12" s="9"/>
      <c r="V12" s="9" t="str">
        <f t="shared" si="1"/>
        <v/>
      </c>
      <c r="W12" s="9"/>
      <c r="X12" s="9" t="str">
        <f t="shared" si="1"/>
        <v/>
      </c>
      <c r="Y12" s="9"/>
      <c r="Z12" s="9" t="str">
        <f t="shared" si="1"/>
        <v/>
      </c>
      <c r="AA12" s="9"/>
      <c r="AB12" s="9" t="str">
        <f t="shared" si="1"/>
        <v/>
      </c>
      <c r="AC12" s="9"/>
      <c r="AD12" s="9" t="str">
        <f t="shared" si="1"/>
        <v/>
      </c>
    </row>
    <row r="13" spans="1:30" x14ac:dyDescent="0.25">
      <c r="B13" s="9">
        <v>0.20200000000000001</v>
      </c>
      <c r="C13" s="9" t="str">
        <f t="shared" si="0"/>
        <v/>
      </c>
      <c r="D13" s="9"/>
      <c r="E13" s="9">
        <v>0.254</v>
      </c>
      <c r="F13" s="9" t="str">
        <f t="shared" si="0"/>
        <v/>
      </c>
      <c r="G13" s="9">
        <v>0.16300000000000001</v>
      </c>
      <c r="H13" s="9" t="str">
        <f t="shared" si="0"/>
        <v/>
      </c>
      <c r="I13" s="9">
        <v>0.14199999999999999</v>
      </c>
      <c r="J13" s="9" t="str">
        <f t="shared" si="0"/>
        <v/>
      </c>
      <c r="K13" s="9">
        <v>0.84299999999999997</v>
      </c>
      <c r="L13" s="9" t="str">
        <f t="shared" si="0"/>
        <v/>
      </c>
      <c r="M13" s="9">
        <v>0.96499999999999997</v>
      </c>
      <c r="N13" s="9" t="str">
        <f t="shared" si="0"/>
        <v/>
      </c>
      <c r="O13" s="9">
        <v>0.873</v>
      </c>
      <c r="P13" s="9" t="str">
        <f t="shared" si="1"/>
        <v/>
      </c>
      <c r="Q13" s="9">
        <v>0.84199999999999997</v>
      </c>
      <c r="R13" s="9" t="str">
        <f t="shared" si="1"/>
        <v/>
      </c>
      <c r="S13" s="9"/>
      <c r="T13" s="9" t="str">
        <f t="shared" si="1"/>
        <v/>
      </c>
      <c r="U13" s="9"/>
      <c r="V13" s="9" t="str">
        <f t="shared" si="1"/>
        <v/>
      </c>
      <c r="W13" s="9"/>
      <c r="X13" s="9" t="str">
        <f t="shared" si="1"/>
        <v/>
      </c>
      <c r="Y13" s="9"/>
      <c r="Z13" s="9" t="str">
        <f t="shared" si="1"/>
        <v/>
      </c>
      <c r="AA13" s="9"/>
      <c r="AB13" s="9" t="str">
        <f t="shared" si="1"/>
        <v/>
      </c>
      <c r="AC13" s="9"/>
      <c r="AD13" s="9" t="str">
        <f t="shared" si="1"/>
        <v/>
      </c>
    </row>
    <row r="14" spans="1:30" x14ac:dyDescent="0.25">
      <c r="A14" t="s">
        <v>33</v>
      </c>
      <c r="B14" s="9">
        <v>-1.8E-3</v>
      </c>
      <c r="C14" s="9" t="str">
        <f t="shared" si="0"/>
        <v/>
      </c>
      <c r="D14" s="9" t="str">
        <f>+CONCATENATE(ROUND(B14,3), " ",C14)</f>
        <v xml:space="preserve">-0,002 </v>
      </c>
      <c r="E14" s="9">
        <v>1.1000000000000001E-3</v>
      </c>
      <c r="F14" s="9" t="str">
        <f t="shared" si="0"/>
        <v/>
      </c>
      <c r="G14" s="9"/>
      <c r="H14" s="9" t="str">
        <f t="shared" si="0"/>
        <v>***</v>
      </c>
      <c r="I14" s="9"/>
      <c r="J14" s="9" t="str">
        <f t="shared" si="0"/>
        <v>***</v>
      </c>
      <c r="K14" s="9">
        <v>3.3E-3</v>
      </c>
      <c r="L14" s="9" t="str">
        <f t="shared" si="0"/>
        <v/>
      </c>
      <c r="M14" s="9">
        <v>3.2000000000000002E-3</v>
      </c>
      <c r="N14" s="9" t="str">
        <f t="shared" ref="N14:X58" si="2">+IF($A14&lt;&gt;"",IF(M16&lt;0.01,"***",IF(M16&lt;0.05,"**",IF(M16&lt;0.1,"*",""))),"")</f>
        <v/>
      </c>
      <c r="O14" s="9"/>
      <c r="P14" s="9" t="str">
        <f t="shared" si="2"/>
        <v>***</v>
      </c>
      <c r="Q14" s="9"/>
      <c r="R14" s="9" t="str">
        <f t="shared" si="2"/>
        <v>***</v>
      </c>
      <c r="S14" s="9">
        <v>-1.9E-3</v>
      </c>
      <c r="T14" s="9" t="str">
        <f t="shared" si="2"/>
        <v/>
      </c>
      <c r="U14" s="9">
        <v>-5.24E-5</v>
      </c>
      <c r="V14" s="9" t="str">
        <f t="shared" si="2"/>
        <v/>
      </c>
      <c r="W14" s="9"/>
      <c r="X14" s="9" t="str">
        <f t="shared" si="2"/>
        <v>***</v>
      </c>
      <c r="Y14" s="9"/>
      <c r="Z14" s="9" t="str">
        <f t="shared" si="1"/>
        <v>***</v>
      </c>
      <c r="AA14" s="9">
        <v>-2.5999999999999999E-3</v>
      </c>
      <c r="AB14" s="9" t="str">
        <f t="shared" si="1"/>
        <v/>
      </c>
      <c r="AC14" s="9">
        <v>1E-4</v>
      </c>
      <c r="AD14" s="9" t="str">
        <f t="shared" si="1"/>
        <v/>
      </c>
    </row>
    <row r="15" spans="1:30" x14ac:dyDescent="0.25">
      <c r="B15" s="9">
        <v>3.0000000000000001E-3</v>
      </c>
      <c r="C15" s="9" t="str">
        <f t="shared" si="0"/>
        <v/>
      </c>
      <c r="D15" s="9" t="str">
        <f>+CONCATENATE("(",ROUND(B15,3),")")</f>
        <v>(0,003)</v>
      </c>
      <c r="E15" s="9">
        <v>3.0000000000000001E-3</v>
      </c>
      <c r="F15" s="9" t="str">
        <f t="shared" si="0"/>
        <v/>
      </c>
      <c r="G15" s="9"/>
      <c r="H15" s="9" t="str">
        <f t="shared" si="0"/>
        <v/>
      </c>
      <c r="I15" s="9"/>
      <c r="J15" s="9" t="str">
        <f t="shared" si="0"/>
        <v/>
      </c>
      <c r="K15" s="9">
        <v>4.0000000000000001E-3</v>
      </c>
      <c r="L15" s="9" t="str">
        <f t="shared" si="0"/>
        <v/>
      </c>
      <c r="M15" s="9">
        <v>4.0000000000000001E-3</v>
      </c>
      <c r="N15" s="9" t="str">
        <f t="shared" si="2"/>
        <v/>
      </c>
      <c r="O15" s="9"/>
      <c r="P15" s="9" t="str">
        <f t="shared" si="2"/>
        <v/>
      </c>
      <c r="Q15" s="9"/>
      <c r="R15" s="9" t="str">
        <f t="shared" si="2"/>
        <v/>
      </c>
      <c r="S15" s="9">
        <v>3.0000000000000001E-3</v>
      </c>
      <c r="T15" s="9" t="str">
        <f t="shared" si="2"/>
        <v/>
      </c>
      <c r="U15" s="9">
        <v>3.0000000000000001E-3</v>
      </c>
      <c r="V15" s="9" t="str">
        <f t="shared" si="2"/>
        <v/>
      </c>
      <c r="W15" s="9"/>
      <c r="X15" s="9" t="str">
        <f t="shared" si="2"/>
        <v/>
      </c>
      <c r="Y15" s="9"/>
      <c r="Z15" s="9" t="str">
        <f t="shared" si="1"/>
        <v/>
      </c>
      <c r="AA15" s="9">
        <v>3.0000000000000001E-3</v>
      </c>
      <c r="AB15" s="9" t="str">
        <f t="shared" si="1"/>
        <v/>
      </c>
      <c r="AC15" s="9">
        <v>3.0000000000000001E-3</v>
      </c>
      <c r="AD15" s="9" t="str">
        <f t="shared" si="1"/>
        <v/>
      </c>
    </row>
    <row r="16" spans="1:30" x14ac:dyDescent="0.25">
      <c r="B16" s="9">
        <v>0.55800000000000005</v>
      </c>
      <c r="C16" s="9" t="str">
        <f t="shared" si="0"/>
        <v/>
      </c>
      <c r="D16" s="9"/>
      <c r="E16" s="9">
        <v>0.73199999999999998</v>
      </c>
      <c r="F16" s="9" t="str">
        <f t="shared" si="0"/>
        <v/>
      </c>
      <c r="G16" s="9"/>
      <c r="H16" s="9" t="str">
        <f t="shared" si="0"/>
        <v/>
      </c>
      <c r="I16" s="9"/>
      <c r="J16" s="9" t="str">
        <f t="shared" si="0"/>
        <v/>
      </c>
      <c r="K16" s="9">
        <v>0.439</v>
      </c>
      <c r="L16" s="9" t="str">
        <f t="shared" si="0"/>
        <v/>
      </c>
      <c r="M16" s="9">
        <v>0.45300000000000001</v>
      </c>
      <c r="N16" s="9" t="str">
        <f t="shared" si="2"/>
        <v/>
      </c>
      <c r="O16" s="9"/>
      <c r="P16" s="9" t="str">
        <f t="shared" si="2"/>
        <v/>
      </c>
      <c r="Q16" s="9"/>
      <c r="R16" s="9" t="str">
        <f t="shared" si="2"/>
        <v/>
      </c>
      <c r="S16" s="9">
        <v>0.53800000000000003</v>
      </c>
      <c r="T16" s="9" t="str">
        <f t="shared" si="2"/>
        <v/>
      </c>
      <c r="U16" s="9">
        <v>0.98699999999999999</v>
      </c>
      <c r="V16" s="9" t="str">
        <f t="shared" si="2"/>
        <v/>
      </c>
      <c r="W16" s="9"/>
      <c r="X16" s="9" t="str">
        <f t="shared" si="2"/>
        <v/>
      </c>
      <c r="Y16" s="9"/>
      <c r="Z16" s="9" t="str">
        <f t="shared" si="1"/>
        <v/>
      </c>
      <c r="AA16" s="9">
        <v>0.40300000000000002</v>
      </c>
      <c r="AB16" s="9" t="str">
        <f t="shared" si="1"/>
        <v/>
      </c>
      <c r="AC16" s="9">
        <v>0.96499999999999997</v>
      </c>
      <c r="AD16" s="9" t="str">
        <f t="shared" si="1"/>
        <v/>
      </c>
    </row>
    <row r="17" spans="1:30" x14ac:dyDescent="0.25">
      <c r="A17" t="s">
        <v>34</v>
      </c>
      <c r="B17" s="9">
        <v>-4.4000000000000003E-3</v>
      </c>
      <c r="C17" s="9" t="str">
        <f t="shared" si="0"/>
        <v/>
      </c>
      <c r="D17" s="9" t="str">
        <f>+CONCATENATE(ROUND(B17,3), " ",C17)</f>
        <v xml:space="preserve">-0,004 </v>
      </c>
      <c r="E17" s="9">
        <v>4.0000000000000002E-4</v>
      </c>
      <c r="F17" s="9" t="str">
        <f t="shared" si="0"/>
        <v/>
      </c>
      <c r="G17" s="9">
        <v>-1.2200000000000001E-2</v>
      </c>
      <c r="H17" s="9" t="str">
        <f t="shared" si="0"/>
        <v/>
      </c>
      <c r="I17" s="9">
        <v>-5.5999999999999999E-3</v>
      </c>
      <c r="J17" s="9" t="str">
        <f t="shared" si="0"/>
        <v/>
      </c>
      <c r="K17" s="9"/>
      <c r="L17" s="9" t="str">
        <f t="shared" si="0"/>
        <v>***</v>
      </c>
      <c r="M17" s="9"/>
      <c r="N17" s="9" t="str">
        <f t="shared" si="2"/>
        <v>***</v>
      </c>
      <c r="O17" s="9">
        <v>-1.06E-2</v>
      </c>
      <c r="P17" s="9" t="str">
        <f t="shared" si="2"/>
        <v/>
      </c>
      <c r="Q17" s="9">
        <v>-4.0000000000000001E-3</v>
      </c>
      <c r="R17" s="9" t="str">
        <f t="shared" si="2"/>
        <v/>
      </c>
      <c r="S17" s="9">
        <v>-9.1999999999999998E-3</v>
      </c>
      <c r="T17" s="9" t="str">
        <f t="shared" si="2"/>
        <v/>
      </c>
      <c r="U17" s="9">
        <v>-6.9999999999999999E-4</v>
      </c>
      <c r="V17" s="9" t="str">
        <f t="shared" si="2"/>
        <v/>
      </c>
      <c r="W17" s="9">
        <v>-3.0999999999999999E-3</v>
      </c>
      <c r="X17" s="9" t="str">
        <f t="shared" si="2"/>
        <v/>
      </c>
      <c r="Y17" s="9">
        <v>3.8999999999999998E-3</v>
      </c>
      <c r="Z17" s="9" t="str">
        <f t="shared" si="1"/>
        <v/>
      </c>
      <c r="AA17" s="9"/>
      <c r="AB17" s="9" t="str">
        <f t="shared" si="1"/>
        <v>***</v>
      </c>
      <c r="AC17" s="9"/>
      <c r="AD17" s="9" t="str">
        <f t="shared" si="1"/>
        <v>***</v>
      </c>
    </row>
    <row r="18" spans="1:30" x14ac:dyDescent="0.25">
      <c r="B18" s="9">
        <v>8.9999999999999993E-3</v>
      </c>
      <c r="C18" s="9" t="str">
        <f t="shared" si="0"/>
        <v/>
      </c>
      <c r="D18" s="9" t="str">
        <f>+CONCATENATE("(",ROUND(B18,3),")")</f>
        <v>(0,009)</v>
      </c>
      <c r="E18" s="9">
        <v>0.01</v>
      </c>
      <c r="F18" s="9" t="str">
        <f t="shared" si="0"/>
        <v/>
      </c>
      <c r="G18" s="9">
        <v>7.0000000000000001E-3</v>
      </c>
      <c r="H18" s="9" t="str">
        <f t="shared" si="0"/>
        <v/>
      </c>
      <c r="I18" s="9">
        <v>8.9999999999999993E-3</v>
      </c>
      <c r="J18" s="9" t="str">
        <f t="shared" si="0"/>
        <v/>
      </c>
      <c r="K18" s="9"/>
      <c r="L18" s="9" t="str">
        <f t="shared" si="0"/>
        <v/>
      </c>
      <c r="M18" s="9"/>
      <c r="N18" s="9" t="str">
        <f t="shared" si="2"/>
        <v/>
      </c>
      <c r="O18" s="9">
        <v>1.0999999999999999E-2</v>
      </c>
      <c r="P18" s="9" t="str">
        <f t="shared" si="2"/>
        <v/>
      </c>
      <c r="Q18" s="9">
        <v>1.2E-2</v>
      </c>
      <c r="R18" s="9" t="str">
        <f t="shared" si="2"/>
        <v/>
      </c>
      <c r="S18" s="9">
        <v>8.0000000000000002E-3</v>
      </c>
      <c r="T18" s="9" t="str">
        <f t="shared" si="2"/>
        <v/>
      </c>
      <c r="U18" s="9">
        <v>8.9999999999999993E-3</v>
      </c>
      <c r="V18" s="9" t="str">
        <f t="shared" si="2"/>
        <v/>
      </c>
      <c r="W18" s="9">
        <v>7.0000000000000001E-3</v>
      </c>
      <c r="X18" s="9" t="str">
        <f t="shared" si="2"/>
        <v/>
      </c>
      <c r="Y18" s="9">
        <v>8.0000000000000002E-3</v>
      </c>
      <c r="Z18" s="9" t="str">
        <f t="shared" si="1"/>
        <v/>
      </c>
      <c r="AA18" s="9"/>
      <c r="AB18" s="9" t="str">
        <f t="shared" si="1"/>
        <v/>
      </c>
      <c r="AC18" s="9"/>
      <c r="AD18" s="9" t="str">
        <f t="shared" si="1"/>
        <v/>
      </c>
    </row>
    <row r="19" spans="1:30" x14ac:dyDescent="0.25">
      <c r="B19" s="9">
        <v>0.622</v>
      </c>
      <c r="C19" s="9" t="str">
        <f t="shared" si="0"/>
        <v/>
      </c>
      <c r="D19" s="9"/>
      <c r="E19" s="9">
        <v>0.96799999999999997</v>
      </c>
      <c r="F19" s="9" t="str">
        <f t="shared" si="0"/>
        <v/>
      </c>
      <c r="G19" s="9">
        <v>0.104</v>
      </c>
      <c r="H19" s="9" t="str">
        <f t="shared" si="0"/>
        <v/>
      </c>
      <c r="I19" s="9">
        <v>0.51100000000000001</v>
      </c>
      <c r="J19" s="9" t="str">
        <f t="shared" si="0"/>
        <v/>
      </c>
      <c r="K19" s="9"/>
      <c r="L19" s="9" t="str">
        <f t="shared" si="0"/>
        <v/>
      </c>
      <c r="M19" s="9"/>
      <c r="N19" s="9" t="str">
        <f t="shared" si="2"/>
        <v/>
      </c>
      <c r="O19" s="9">
        <v>0.32500000000000001</v>
      </c>
      <c r="P19" s="9" t="str">
        <f t="shared" si="2"/>
        <v/>
      </c>
      <c r="Q19" s="9">
        <v>0.73699999999999999</v>
      </c>
      <c r="R19" s="9" t="str">
        <f t="shared" si="2"/>
        <v/>
      </c>
      <c r="S19" s="9">
        <v>0.26100000000000001</v>
      </c>
      <c r="T19" s="9" t="str">
        <f t="shared" si="2"/>
        <v/>
      </c>
      <c r="U19" s="9">
        <v>0.94099999999999995</v>
      </c>
      <c r="V19" s="9" t="str">
        <f t="shared" si="2"/>
        <v/>
      </c>
      <c r="W19" s="9">
        <v>0.68</v>
      </c>
      <c r="X19" s="9" t="str">
        <f t="shared" si="2"/>
        <v/>
      </c>
      <c r="Y19" s="9">
        <v>0.63300000000000001</v>
      </c>
      <c r="Z19" s="9" t="str">
        <f t="shared" si="1"/>
        <v/>
      </c>
      <c r="AA19" s="9"/>
      <c r="AB19" s="9" t="str">
        <f t="shared" si="1"/>
        <v/>
      </c>
      <c r="AC19" s="9"/>
      <c r="AD19" s="9" t="str">
        <f t="shared" si="1"/>
        <v/>
      </c>
    </row>
    <row r="20" spans="1:30" x14ac:dyDescent="0.25">
      <c r="A20" t="s">
        <v>35</v>
      </c>
      <c r="B20" s="9">
        <v>6.4699999999999994E-2</v>
      </c>
      <c r="C20" s="9" t="str">
        <f t="shared" si="0"/>
        <v/>
      </c>
      <c r="D20" s="9" t="str">
        <f>+CONCATENATE(ROUND(B20,3), " ",C20)</f>
        <v xml:space="preserve">0,065 </v>
      </c>
      <c r="E20" s="9">
        <v>-4.1599999999999998E-2</v>
      </c>
      <c r="F20" s="9" t="str">
        <f t="shared" si="0"/>
        <v/>
      </c>
      <c r="G20" s="9"/>
      <c r="H20" s="9" t="str">
        <f t="shared" si="0"/>
        <v>***</v>
      </c>
      <c r="I20" s="9"/>
      <c r="J20" s="9" t="str">
        <f t="shared" si="0"/>
        <v>***</v>
      </c>
      <c r="K20" s="9">
        <v>4.3400000000000001E-2</v>
      </c>
      <c r="L20" s="9" t="str">
        <f t="shared" si="0"/>
        <v/>
      </c>
      <c r="M20" s="9">
        <v>-8.8200000000000001E-2</v>
      </c>
      <c r="N20" s="9" t="str">
        <f t="shared" si="2"/>
        <v/>
      </c>
      <c r="O20" s="9">
        <v>-2.69E-2</v>
      </c>
      <c r="P20" s="9" t="str">
        <f t="shared" si="2"/>
        <v/>
      </c>
      <c r="Q20" s="9">
        <v>-0.40589999999999998</v>
      </c>
      <c r="R20" s="9" t="str">
        <f t="shared" si="2"/>
        <v/>
      </c>
      <c r="S20" s="9">
        <v>-3.9100000000000003E-2</v>
      </c>
      <c r="T20" s="9" t="str">
        <f t="shared" si="2"/>
        <v/>
      </c>
      <c r="U20" s="9">
        <v>-0.2382</v>
      </c>
      <c r="V20" s="9" t="str">
        <f t="shared" si="2"/>
        <v/>
      </c>
      <c r="W20" s="9"/>
      <c r="X20" s="9" t="str">
        <f t="shared" si="2"/>
        <v>***</v>
      </c>
      <c r="Y20" s="9"/>
      <c r="Z20" s="9" t="str">
        <f t="shared" si="1"/>
        <v>***</v>
      </c>
      <c r="AA20" s="9">
        <v>0.25259999999999999</v>
      </c>
      <c r="AB20" s="9" t="str">
        <f t="shared" si="1"/>
        <v/>
      </c>
      <c r="AC20" s="9">
        <v>2.9100000000000001E-2</v>
      </c>
      <c r="AD20" s="9" t="str">
        <f t="shared" si="1"/>
        <v/>
      </c>
    </row>
    <row r="21" spans="1:30" x14ac:dyDescent="0.25">
      <c r="B21" s="9">
        <v>0.53600000000000003</v>
      </c>
      <c r="C21" s="9" t="str">
        <f t="shared" si="0"/>
        <v/>
      </c>
      <c r="D21" s="9" t="str">
        <f>+CONCATENATE("(",ROUND(B21,3),")")</f>
        <v>(0,536)</v>
      </c>
      <c r="E21" s="9">
        <v>0.53900000000000003</v>
      </c>
      <c r="F21" s="9" t="str">
        <f t="shared" si="0"/>
        <v/>
      </c>
      <c r="G21" s="9"/>
      <c r="H21" s="9" t="str">
        <f t="shared" si="0"/>
        <v/>
      </c>
      <c r="I21" s="9"/>
      <c r="J21" s="9" t="str">
        <f t="shared" si="0"/>
        <v/>
      </c>
      <c r="K21" s="9">
        <v>0.72199999999999998</v>
      </c>
      <c r="L21" s="9" t="str">
        <f t="shared" si="0"/>
        <v/>
      </c>
      <c r="M21" s="9">
        <v>0.71499999999999997</v>
      </c>
      <c r="N21" s="9" t="str">
        <f t="shared" si="2"/>
        <v/>
      </c>
      <c r="O21" s="9">
        <v>0.71799999999999997</v>
      </c>
      <c r="P21" s="9" t="str">
        <f t="shared" si="2"/>
        <v/>
      </c>
      <c r="Q21" s="9">
        <v>0.71799999999999997</v>
      </c>
      <c r="R21" s="9" t="str">
        <f t="shared" si="2"/>
        <v/>
      </c>
      <c r="S21" s="9">
        <v>0.53100000000000003</v>
      </c>
      <c r="T21" s="9" t="str">
        <f t="shared" si="2"/>
        <v/>
      </c>
      <c r="U21" s="9">
        <v>0.53700000000000003</v>
      </c>
      <c r="V21" s="9" t="str">
        <f t="shared" si="2"/>
        <v/>
      </c>
      <c r="W21" s="9"/>
      <c r="X21" s="9" t="str">
        <f t="shared" si="2"/>
        <v/>
      </c>
      <c r="Y21" s="9"/>
      <c r="Z21" s="9" t="str">
        <f t="shared" si="1"/>
        <v/>
      </c>
      <c r="AA21" s="9">
        <v>0.52100000000000002</v>
      </c>
      <c r="AB21" s="9" t="str">
        <f t="shared" si="1"/>
        <v/>
      </c>
      <c r="AC21" s="9">
        <v>0.52800000000000002</v>
      </c>
      <c r="AD21" s="9" t="str">
        <f t="shared" si="1"/>
        <v/>
      </c>
    </row>
    <row r="22" spans="1:30" x14ac:dyDescent="0.25">
      <c r="B22" s="9">
        <v>0.90400000000000003</v>
      </c>
      <c r="C22" s="9" t="str">
        <f t="shared" si="0"/>
        <v/>
      </c>
      <c r="D22" s="9"/>
      <c r="E22" s="9">
        <v>0.93799999999999994</v>
      </c>
      <c r="F22" s="9" t="str">
        <f t="shared" si="0"/>
        <v/>
      </c>
      <c r="G22" s="9"/>
      <c r="H22" s="9" t="str">
        <f t="shared" si="0"/>
        <v/>
      </c>
      <c r="I22" s="9"/>
      <c r="J22" s="9" t="str">
        <f t="shared" si="0"/>
        <v/>
      </c>
      <c r="K22" s="9">
        <v>0.95199999999999996</v>
      </c>
      <c r="L22" s="9" t="str">
        <f t="shared" si="0"/>
        <v/>
      </c>
      <c r="M22" s="9">
        <v>0.90200000000000002</v>
      </c>
      <c r="N22" s="9" t="str">
        <f t="shared" si="2"/>
        <v/>
      </c>
      <c r="O22" s="9">
        <v>0.97</v>
      </c>
      <c r="P22" s="9" t="str">
        <f t="shared" si="2"/>
        <v/>
      </c>
      <c r="Q22" s="9">
        <v>0.57199999999999995</v>
      </c>
      <c r="R22" s="9" t="str">
        <f t="shared" si="2"/>
        <v/>
      </c>
      <c r="S22" s="9">
        <v>0.94099999999999995</v>
      </c>
      <c r="T22" s="9" t="str">
        <f t="shared" si="2"/>
        <v/>
      </c>
      <c r="U22" s="9">
        <v>0.65800000000000003</v>
      </c>
      <c r="V22" s="9" t="str">
        <f t="shared" si="2"/>
        <v/>
      </c>
      <c r="W22" s="9"/>
      <c r="X22" s="9" t="str">
        <f t="shared" si="2"/>
        <v/>
      </c>
      <c r="Y22" s="9"/>
      <c r="Z22" s="9" t="str">
        <f t="shared" si="1"/>
        <v/>
      </c>
      <c r="AA22" s="9">
        <v>0.628</v>
      </c>
      <c r="AB22" s="9" t="str">
        <f t="shared" si="1"/>
        <v/>
      </c>
      <c r="AC22" s="9">
        <v>0.95599999999999996</v>
      </c>
      <c r="AD22" s="9" t="str">
        <f t="shared" si="1"/>
        <v/>
      </c>
    </row>
    <row r="23" spans="1:30" x14ac:dyDescent="0.25">
      <c r="A23" t="s">
        <v>36</v>
      </c>
      <c r="B23" s="9">
        <v>-3.7100000000000001E-5</v>
      </c>
      <c r="C23" s="9" t="str">
        <f t="shared" si="0"/>
        <v/>
      </c>
      <c r="D23" s="9" t="str">
        <f>+CONCATENATE(ROUND(B23,3), " ",C23)</f>
        <v xml:space="preserve">0 </v>
      </c>
      <c r="E23" s="9">
        <v>-2.9999999999999997E-4</v>
      </c>
      <c r="F23" s="9" t="str">
        <f t="shared" si="0"/>
        <v/>
      </c>
      <c r="G23" s="9"/>
      <c r="H23" s="9" t="str">
        <f t="shared" si="0"/>
        <v>***</v>
      </c>
      <c r="I23" s="9"/>
      <c r="J23" s="9" t="str">
        <f t="shared" si="0"/>
        <v>***</v>
      </c>
      <c r="K23" s="9"/>
      <c r="L23" s="9" t="str">
        <f t="shared" si="0"/>
        <v>***</v>
      </c>
      <c r="M23" s="9"/>
      <c r="N23" s="9" t="str">
        <f t="shared" si="2"/>
        <v>***</v>
      </c>
      <c r="O23" s="9"/>
      <c r="P23" s="9" t="str">
        <f t="shared" si="2"/>
        <v>***</v>
      </c>
      <c r="Q23" s="9"/>
      <c r="R23" s="9" t="str">
        <f t="shared" si="2"/>
        <v>***</v>
      </c>
      <c r="S23" s="9"/>
      <c r="T23" s="9" t="str">
        <f t="shared" si="2"/>
        <v>***</v>
      </c>
      <c r="U23" s="9"/>
      <c r="V23" s="9" t="str">
        <f t="shared" si="2"/>
        <v>***</v>
      </c>
      <c r="W23" s="9"/>
      <c r="X23" s="9" t="str">
        <f t="shared" si="2"/>
        <v>***</v>
      </c>
      <c r="Y23" s="9"/>
      <c r="Z23" s="9" t="str">
        <f t="shared" si="1"/>
        <v>***</v>
      </c>
      <c r="AA23" s="9">
        <v>-1E-4</v>
      </c>
      <c r="AB23" s="9" t="str">
        <f t="shared" si="1"/>
        <v/>
      </c>
      <c r="AC23" s="9">
        <v>-4.0000000000000002E-4</v>
      </c>
      <c r="AD23" s="9" t="str">
        <f t="shared" si="1"/>
        <v/>
      </c>
    </row>
    <row r="24" spans="1:30" x14ac:dyDescent="0.25">
      <c r="B24" s="9">
        <v>0</v>
      </c>
      <c r="C24" s="9" t="str">
        <f t="shared" si="0"/>
        <v/>
      </c>
      <c r="D24" s="9" t="str">
        <f>+CONCATENATE("(",ROUND(B24,3),")")</f>
        <v>(0)</v>
      </c>
      <c r="E24" s="9">
        <v>0</v>
      </c>
      <c r="F24" s="9" t="str">
        <f t="shared" si="0"/>
        <v/>
      </c>
      <c r="G24" s="9"/>
      <c r="H24" s="9" t="str">
        <f t="shared" si="0"/>
        <v/>
      </c>
      <c r="I24" s="9"/>
      <c r="J24" s="9" t="str">
        <f t="shared" si="0"/>
        <v/>
      </c>
      <c r="K24" s="9"/>
      <c r="L24" s="9" t="str">
        <f t="shared" si="0"/>
        <v/>
      </c>
      <c r="M24" s="9"/>
      <c r="N24" s="9" t="str">
        <f t="shared" si="2"/>
        <v/>
      </c>
      <c r="O24" s="9"/>
      <c r="P24" s="9" t="str">
        <f t="shared" si="2"/>
        <v/>
      </c>
      <c r="Q24" s="9"/>
      <c r="R24" s="9" t="str">
        <f t="shared" si="2"/>
        <v/>
      </c>
      <c r="S24" s="9"/>
      <c r="T24" s="9" t="str">
        <f t="shared" si="2"/>
        <v/>
      </c>
      <c r="U24" s="9"/>
      <c r="V24" s="9" t="str">
        <f t="shared" si="2"/>
        <v/>
      </c>
      <c r="W24" s="9"/>
      <c r="X24" s="9" t="str">
        <f t="shared" si="2"/>
        <v/>
      </c>
      <c r="Y24" s="9"/>
      <c r="Z24" s="9" t="str">
        <f t="shared" si="1"/>
        <v/>
      </c>
      <c r="AA24" s="9">
        <v>0</v>
      </c>
      <c r="AB24" s="9" t="str">
        <f t="shared" si="1"/>
        <v/>
      </c>
      <c r="AC24" s="9">
        <v>0</v>
      </c>
      <c r="AD24" s="9" t="str">
        <f t="shared" si="1"/>
        <v/>
      </c>
    </row>
    <row r="25" spans="1:30" x14ac:dyDescent="0.25">
      <c r="B25" s="9">
        <v>0.89300000000000002</v>
      </c>
      <c r="C25" s="9" t="str">
        <f t="shared" si="0"/>
        <v/>
      </c>
      <c r="D25" s="9"/>
      <c r="E25" s="9">
        <v>0.27700000000000002</v>
      </c>
      <c r="F25" s="9" t="str">
        <f t="shared" si="0"/>
        <v/>
      </c>
      <c r="G25" s="9"/>
      <c r="H25" s="9" t="str">
        <f t="shared" si="0"/>
        <v/>
      </c>
      <c r="I25" s="9"/>
      <c r="J25" s="9" t="str">
        <f t="shared" si="0"/>
        <v/>
      </c>
      <c r="K25" s="9"/>
      <c r="L25" s="9" t="str">
        <f t="shared" si="0"/>
        <v/>
      </c>
      <c r="M25" s="9"/>
      <c r="N25" s="9" t="str">
        <f t="shared" si="2"/>
        <v/>
      </c>
      <c r="O25" s="9"/>
      <c r="P25" s="9" t="str">
        <f t="shared" si="2"/>
        <v/>
      </c>
      <c r="Q25" s="9"/>
      <c r="R25" s="9" t="str">
        <f t="shared" si="2"/>
        <v/>
      </c>
      <c r="S25" s="9"/>
      <c r="T25" s="9" t="str">
        <f t="shared" si="2"/>
        <v/>
      </c>
      <c r="U25" s="9"/>
      <c r="V25" s="9" t="str">
        <f t="shared" si="2"/>
        <v/>
      </c>
      <c r="W25" s="9"/>
      <c r="X25" s="9" t="str">
        <f t="shared" si="2"/>
        <v/>
      </c>
      <c r="Y25" s="9"/>
      <c r="Z25" s="9" t="str">
        <f t="shared" si="1"/>
        <v/>
      </c>
      <c r="AA25" s="9">
        <v>0.66800000000000004</v>
      </c>
      <c r="AB25" s="9" t="str">
        <f t="shared" si="1"/>
        <v/>
      </c>
      <c r="AC25" s="9">
        <v>0.17599999999999999</v>
      </c>
      <c r="AD25" s="9" t="str">
        <f t="shared" si="1"/>
        <v/>
      </c>
    </row>
    <row r="26" spans="1:30" x14ac:dyDescent="0.25">
      <c r="A26" t="s">
        <v>37</v>
      </c>
      <c r="B26" s="9">
        <v>3.9649999999999998E-7</v>
      </c>
      <c r="C26" s="9" t="str">
        <f t="shared" si="0"/>
        <v/>
      </c>
      <c r="D26" s="9" t="str">
        <f>+CONCATENATE(ROUND(B26,3), " ",C26)</f>
        <v xml:space="preserve">0 </v>
      </c>
      <c r="E26" s="9">
        <v>4.0489999999999998E-7</v>
      </c>
      <c r="F26" s="9" t="str">
        <f t="shared" si="0"/>
        <v/>
      </c>
      <c r="G26" s="9">
        <v>2.586E-7</v>
      </c>
      <c r="H26" s="9" t="str">
        <f t="shared" si="0"/>
        <v/>
      </c>
      <c r="I26" s="9">
        <v>2.9289999999999998E-7</v>
      </c>
      <c r="J26" s="9" t="str">
        <f t="shared" si="0"/>
        <v/>
      </c>
      <c r="K26" s="9"/>
      <c r="L26" s="9" t="str">
        <f t="shared" si="0"/>
        <v>***</v>
      </c>
      <c r="M26" s="9"/>
      <c r="N26" s="9" t="str">
        <f t="shared" si="2"/>
        <v>***</v>
      </c>
      <c r="O26" s="9"/>
      <c r="P26" s="9" t="str">
        <f t="shared" si="2"/>
        <v>***</v>
      </c>
      <c r="Q26" s="9"/>
      <c r="R26" s="9" t="str">
        <f t="shared" si="2"/>
        <v>***</v>
      </c>
      <c r="S26" s="9">
        <v>4.299E-7</v>
      </c>
      <c r="T26" s="9" t="str">
        <f t="shared" si="2"/>
        <v/>
      </c>
      <c r="U26" s="9">
        <v>3.5639999999999999E-7</v>
      </c>
      <c r="V26" s="9" t="str">
        <f t="shared" si="2"/>
        <v/>
      </c>
      <c r="W26" s="9"/>
      <c r="X26" s="9" t="str">
        <f t="shared" si="2"/>
        <v>***</v>
      </c>
      <c r="Y26" s="9"/>
      <c r="Z26" s="9" t="str">
        <f t="shared" si="1"/>
        <v>***</v>
      </c>
      <c r="AA26" s="9"/>
      <c r="AB26" s="9" t="str">
        <f t="shared" si="1"/>
        <v>***</v>
      </c>
      <c r="AC26" s="9"/>
      <c r="AD26" s="9" t="str">
        <f t="shared" si="1"/>
        <v>***</v>
      </c>
    </row>
    <row r="27" spans="1:30" x14ac:dyDescent="0.25">
      <c r="B27" s="9">
        <v>4.5200000000000002E-7</v>
      </c>
      <c r="C27" s="9" t="str">
        <f t="shared" si="0"/>
        <v/>
      </c>
      <c r="D27" s="9" t="str">
        <f>+CONCATENATE("(",ROUND(B27,3),")")</f>
        <v>(0)</v>
      </c>
      <c r="E27" s="9">
        <v>4.5400000000000002E-7</v>
      </c>
      <c r="F27" s="9" t="str">
        <f t="shared" si="0"/>
        <v/>
      </c>
      <c r="G27" s="9">
        <v>4.4000000000000002E-7</v>
      </c>
      <c r="H27" s="9" t="str">
        <f t="shared" si="0"/>
        <v/>
      </c>
      <c r="I27" s="9">
        <v>4.39E-7</v>
      </c>
      <c r="J27" s="9" t="str">
        <f t="shared" si="0"/>
        <v/>
      </c>
      <c r="K27" s="9"/>
      <c r="L27" s="9" t="str">
        <f t="shared" si="0"/>
        <v/>
      </c>
      <c r="M27" s="9"/>
      <c r="N27" s="9" t="str">
        <f t="shared" si="2"/>
        <v/>
      </c>
      <c r="O27" s="9"/>
      <c r="P27" s="9" t="str">
        <f t="shared" si="2"/>
        <v/>
      </c>
      <c r="Q27" s="9"/>
      <c r="R27" s="9" t="str">
        <f t="shared" si="2"/>
        <v/>
      </c>
      <c r="S27" s="9">
        <v>4.3099999999999998E-7</v>
      </c>
      <c r="T27" s="9" t="str">
        <f t="shared" si="2"/>
        <v/>
      </c>
      <c r="U27" s="9">
        <v>4.3599999999999999E-7</v>
      </c>
      <c r="V27" s="9" t="str">
        <f t="shared" si="2"/>
        <v/>
      </c>
      <c r="W27" s="9"/>
      <c r="X27" s="9" t="str">
        <f t="shared" si="2"/>
        <v/>
      </c>
      <c r="Y27" s="9"/>
      <c r="Z27" s="9" t="str">
        <f t="shared" si="1"/>
        <v/>
      </c>
      <c r="AA27" s="9"/>
      <c r="AB27" s="9" t="str">
        <f t="shared" si="1"/>
        <v/>
      </c>
      <c r="AC27" s="9"/>
      <c r="AD27" s="9" t="str">
        <f t="shared" si="1"/>
        <v/>
      </c>
    </row>
    <row r="28" spans="1:30" x14ac:dyDescent="0.25">
      <c r="B28" s="9">
        <v>0.38100000000000001</v>
      </c>
      <c r="C28" s="9" t="str">
        <f t="shared" si="0"/>
        <v/>
      </c>
      <c r="D28" s="9"/>
      <c r="E28" s="9">
        <v>0.373</v>
      </c>
      <c r="F28" s="9" t="str">
        <f t="shared" si="0"/>
        <v/>
      </c>
      <c r="G28" s="9">
        <v>0.55700000000000005</v>
      </c>
      <c r="H28" s="9" t="str">
        <f t="shared" si="0"/>
        <v/>
      </c>
      <c r="I28" s="9">
        <v>0.505</v>
      </c>
      <c r="J28" s="9" t="str">
        <f t="shared" si="0"/>
        <v/>
      </c>
      <c r="K28" s="9"/>
      <c r="L28" s="9" t="str">
        <f t="shared" si="0"/>
        <v/>
      </c>
      <c r="M28" s="9"/>
      <c r="N28" s="9" t="str">
        <f t="shared" si="2"/>
        <v/>
      </c>
      <c r="O28" s="9"/>
      <c r="P28" s="9" t="str">
        <f t="shared" si="2"/>
        <v/>
      </c>
      <c r="Q28" s="9"/>
      <c r="R28" s="9" t="str">
        <f t="shared" si="2"/>
        <v/>
      </c>
      <c r="S28" s="9">
        <v>0.31900000000000001</v>
      </c>
      <c r="T28" s="9" t="str">
        <f t="shared" si="2"/>
        <v/>
      </c>
      <c r="U28" s="9">
        <v>0.41399999999999998</v>
      </c>
      <c r="V28" s="9" t="str">
        <f t="shared" si="2"/>
        <v/>
      </c>
      <c r="W28" s="9"/>
      <c r="X28" s="9" t="str">
        <f t="shared" si="2"/>
        <v/>
      </c>
      <c r="Y28" s="9"/>
      <c r="Z28" s="9" t="str">
        <f t="shared" si="1"/>
        <v/>
      </c>
      <c r="AA28" s="9"/>
      <c r="AB28" s="9" t="str">
        <f t="shared" si="1"/>
        <v/>
      </c>
      <c r="AC28" s="9"/>
      <c r="AD28" s="9" t="str">
        <f t="shared" si="1"/>
        <v/>
      </c>
    </row>
    <row r="29" spans="1:30" x14ac:dyDescent="0.25">
      <c r="A29" t="s">
        <v>38</v>
      </c>
      <c r="B29" s="9">
        <v>-0.25750000000000001</v>
      </c>
      <c r="C29" s="9" t="str">
        <f t="shared" si="0"/>
        <v/>
      </c>
      <c r="D29" s="9" t="str">
        <f>+CONCATENATE(ROUND(B29,3), " ",C29)</f>
        <v xml:space="preserve">-0,258 </v>
      </c>
      <c r="E29" s="9">
        <v>1.1573</v>
      </c>
      <c r="F29" s="9" t="str">
        <f t="shared" si="0"/>
        <v/>
      </c>
      <c r="G29" s="9"/>
      <c r="H29" s="9" t="str">
        <f t="shared" si="0"/>
        <v>***</v>
      </c>
      <c r="I29" s="9"/>
      <c r="J29" s="9" t="str">
        <f t="shared" si="0"/>
        <v>***</v>
      </c>
      <c r="K29" s="9"/>
      <c r="L29" s="9" t="str">
        <f t="shared" si="0"/>
        <v>***</v>
      </c>
      <c r="M29" s="9"/>
      <c r="N29" s="9" t="str">
        <f t="shared" si="2"/>
        <v>***</v>
      </c>
      <c r="O29" s="9">
        <v>0.56540000000000001</v>
      </c>
      <c r="P29" s="9" t="str">
        <f t="shared" si="2"/>
        <v/>
      </c>
      <c r="Q29" s="9">
        <v>0.47260000000000002</v>
      </c>
      <c r="R29" s="9" t="str">
        <f t="shared" si="2"/>
        <v/>
      </c>
      <c r="S29" s="9">
        <v>-0.50560000000000005</v>
      </c>
      <c r="T29" s="9" t="str">
        <f t="shared" si="2"/>
        <v>***</v>
      </c>
      <c r="U29" s="9">
        <v>-0.18790000000000001</v>
      </c>
      <c r="V29" s="9" t="str">
        <f t="shared" si="2"/>
        <v/>
      </c>
      <c r="W29" s="9">
        <v>-0.30969999999999998</v>
      </c>
      <c r="X29" s="9" t="str">
        <f t="shared" si="2"/>
        <v/>
      </c>
      <c r="Y29" s="9">
        <v>1.1892</v>
      </c>
      <c r="Z29" s="9" t="str">
        <f t="shared" si="1"/>
        <v/>
      </c>
      <c r="AA29" s="9"/>
      <c r="AB29" s="9" t="str">
        <f t="shared" si="1"/>
        <v>***</v>
      </c>
      <c r="AC29" s="9"/>
      <c r="AD29" s="9" t="str">
        <f t="shared" si="1"/>
        <v>***</v>
      </c>
    </row>
    <row r="30" spans="1:30" x14ac:dyDescent="0.25">
      <c r="B30" s="9">
        <v>0.68700000000000006</v>
      </c>
      <c r="C30" s="9" t="str">
        <f t="shared" si="0"/>
        <v/>
      </c>
      <c r="D30" s="9" t="str">
        <f>+CONCATENATE("(",ROUND(B30,3),")")</f>
        <v>(0,687)</v>
      </c>
      <c r="E30" s="9">
        <v>0.82199999999999995</v>
      </c>
      <c r="F30" s="9" t="str">
        <f t="shared" si="0"/>
        <v/>
      </c>
      <c r="G30" s="9"/>
      <c r="H30" s="9" t="str">
        <f t="shared" si="0"/>
        <v/>
      </c>
      <c r="I30" s="9"/>
      <c r="J30" s="9" t="str">
        <f t="shared" si="0"/>
        <v/>
      </c>
      <c r="K30" s="9"/>
      <c r="L30" s="9" t="str">
        <f t="shared" si="0"/>
        <v/>
      </c>
      <c r="M30" s="9"/>
      <c r="N30" s="9" t="str">
        <f t="shared" si="2"/>
        <v/>
      </c>
      <c r="O30" s="9">
        <v>0.89100000000000001</v>
      </c>
      <c r="P30" s="9" t="str">
        <f t="shared" si="2"/>
        <v/>
      </c>
      <c r="Q30" s="9">
        <v>1.079</v>
      </c>
      <c r="R30" s="9" t="str">
        <f t="shared" si="2"/>
        <v/>
      </c>
      <c r="S30" s="9">
        <v>0.186</v>
      </c>
      <c r="T30" s="9" t="str">
        <f t="shared" si="2"/>
        <v/>
      </c>
      <c r="U30" s="9">
        <v>0.249</v>
      </c>
      <c r="V30" s="9" t="str">
        <f t="shared" si="2"/>
        <v/>
      </c>
      <c r="W30" s="9">
        <v>0.67100000000000004</v>
      </c>
      <c r="X30" s="9" t="str">
        <f t="shared" si="2"/>
        <v/>
      </c>
      <c r="Y30" s="9">
        <v>0.80900000000000005</v>
      </c>
      <c r="Z30" s="9" t="str">
        <f t="shared" si="1"/>
        <v/>
      </c>
      <c r="AA30" s="9"/>
      <c r="AB30" s="9" t="str">
        <f t="shared" si="1"/>
        <v/>
      </c>
      <c r="AC30" s="9"/>
      <c r="AD30" s="9" t="str">
        <f t="shared" si="1"/>
        <v/>
      </c>
    </row>
    <row r="31" spans="1:30" x14ac:dyDescent="0.25">
      <c r="B31" s="9">
        <v>0.70799999999999996</v>
      </c>
      <c r="C31" s="9" t="str">
        <f t="shared" si="0"/>
        <v/>
      </c>
      <c r="D31" s="9"/>
      <c r="E31" s="9">
        <v>0.16</v>
      </c>
      <c r="F31" s="9" t="str">
        <f t="shared" si="0"/>
        <v/>
      </c>
      <c r="G31" s="9"/>
      <c r="H31" s="9" t="str">
        <f t="shared" si="0"/>
        <v/>
      </c>
      <c r="I31" s="9"/>
      <c r="J31" s="9" t="str">
        <f t="shared" si="0"/>
        <v/>
      </c>
      <c r="K31" s="9"/>
      <c r="L31" s="9" t="str">
        <f t="shared" si="0"/>
        <v/>
      </c>
      <c r="M31" s="9"/>
      <c r="N31" s="9" t="str">
        <f t="shared" si="2"/>
        <v/>
      </c>
      <c r="O31" s="9">
        <v>0.52600000000000002</v>
      </c>
      <c r="P31" s="9" t="str">
        <f t="shared" si="2"/>
        <v/>
      </c>
      <c r="Q31" s="9">
        <v>0.66200000000000003</v>
      </c>
      <c r="R31" s="9" t="str">
        <f t="shared" si="2"/>
        <v/>
      </c>
      <c r="S31" s="9">
        <v>7.0000000000000001E-3</v>
      </c>
      <c r="T31" s="9" t="str">
        <f t="shared" si="2"/>
        <v/>
      </c>
      <c r="U31" s="9">
        <v>0.45</v>
      </c>
      <c r="V31" s="9" t="str">
        <f t="shared" si="2"/>
        <v/>
      </c>
      <c r="W31" s="9">
        <v>0.64500000000000002</v>
      </c>
      <c r="X31" s="9" t="str">
        <f t="shared" si="2"/>
        <v/>
      </c>
      <c r="Y31" s="9">
        <v>0.14199999999999999</v>
      </c>
      <c r="Z31" s="9" t="str">
        <f t="shared" si="1"/>
        <v/>
      </c>
      <c r="AA31" s="9"/>
      <c r="AB31" s="9" t="str">
        <f t="shared" si="1"/>
        <v/>
      </c>
      <c r="AC31" s="9"/>
      <c r="AD31" s="9" t="str">
        <f t="shared" si="1"/>
        <v/>
      </c>
    </row>
    <row r="32" spans="1:30" x14ac:dyDescent="0.25">
      <c r="A32" t="s">
        <v>39</v>
      </c>
      <c r="B32" s="9">
        <v>-2.9999999999999997E-4</v>
      </c>
      <c r="C32" s="9" t="str">
        <f t="shared" si="0"/>
        <v/>
      </c>
      <c r="D32" s="9" t="str">
        <f>+CONCATENATE(ROUND(B32,3), " ",C32)</f>
        <v xml:space="preserve">0 </v>
      </c>
      <c r="E32" s="9">
        <v>-2.9999999999999997E-4</v>
      </c>
      <c r="F32" s="9" t="str">
        <f t="shared" si="0"/>
        <v/>
      </c>
      <c r="G32" s="9"/>
      <c r="H32" s="9" t="str">
        <f t="shared" si="0"/>
        <v>***</v>
      </c>
      <c r="I32" s="9"/>
      <c r="J32" s="9" t="str">
        <f t="shared" si="0"/>
        <v>***</v>
      </c>
      <c r="K32" s="9">
        <v>1.1999999999999999E-3</v>
      </c>
      <c r="L32" s="9" t="str">
        <f t="shared" si="0"/>
        <v/>
      </c>
      <c r="M32" s="9">
        <v>1.6999999999999999E-3</v>
      </c>
      <c r="N32" s="9" t="str">
        <f t="shared" si="2"/>
        <v/>
      </c>
      <c r="O32" s="9">
        <v>1.4E-3</v>
      </c>
      <c r="P32" s="9" t="str">
        <f t="shared" si="2"/>
        <v/>
      </c>
      <c r="Q32" s="9">
        <v>1.5E-3</v>
      </c>
      <c r="R32" s="9" t="str">
        <f t="shared" si="2"/>
        <v/>
      </c>
      <c r="S32" s="9">
        <v>-3.8840000000000001E-5</v>
      </c>
      <c r="T32" s="9" t="str">
        <f t="shared" si="2"/>
        <v/>
      </c>
      <c r="U32" s="9">
        <v>3.3769999999999997E-5</v>
      </c>
      <c r="V32" s="9" t="str">
        <f t="shared" si="2"/>
        <v/>
      </c>
      <c r="W32" s="9"/>
      <c r="X32" s="9" t="str">
        <f t="shared" si="2"/>
        <v>***</v>
      </c>
      <c r="Y32" s="9"/>
      <c r="Z32" s="9" t="str">
        <f t="shared" si="1"/>
        <v>***</v>
      </c>
      <c r="AA32" s="9">
        <v>-7.5809999999999994E-5</v>
      </c>
      <c r="AB32" s="9" t="str">
        <f t="shared" si="1"/>
        <v/>
      </c>
      <c r="AC32" s="9">
        <v>1.058E-5</v>
      </c>
      <c r="AD32" s="9" t="str">
        <f t="shared" si="1"/>
        <v/>
      </c>
    </row>
    <row r="33" spans="1:30" x14ac:dyDescent="0.25">
      <c r="B33" s="9">
        <v>1E-3</v>
      </c>
      <c r="C33" s="9" t="str">
        <f t="shared" si="0"/>
        <v/>
      </c>
      <c r="D33" s="9" t="str">
        <f>+CONCATENATE("(",ROUND(B33,3),")")</f>
        <v>(0,001)</v>
      </c>
      <c r="E33" s="9">
        <v>1E-3</v>
      </c>
      <c r="F33" s="9" t="str">
        <f t="shared" si="0"/>
        <v/>
      </c>
      <c r="G33" s="9"/>
      <c r="H33" s="9" t="str">
        <f t="shared" si="0"/>
        <v/>
      </c>
      <c r="I33" s="9"/>
      <c r="J33" s="9" t="str">
        <f t="shared" si="0"/>
        <v/>
      </c>
      <c r="K33" s="9">
        <v>2E-3</v>
      </c>
      <c r="L33" s="9" t="str">
        <f t="shared" si="0"/>
        <v/>
      </c>
      <c r="M33" s="9">
        <v>2E-3</v>
      </c>
      <c r="N33" s="9" t="str">
        <f t="shared" si="2"/>
        <v/>
      </c>
      <c r="O33" s="9">
        <v>2E-3</v>
      </c>
      <c r="P33" s="9" t="str">
        <f t="shared" si="2"/>
        <v/>
      </c>
      <c r="Q33" s="9">
        <v>2E-3</v>
      </c>
      <c r="R33" s="9" t="str">
        <f t="shared" si="2"/>
        <v/>
      </c>
      <c r="S33" s="9">
        <v>1E-3</v>
      </c>
      <c r="T33" s="9" t="str">
        <f t="shared" si="2"/>
        <v/>
      </c>
      <c r="U33" s="9">
        <v>1E-3</v>
      </c>
      <c r="V33" s="9" t="str">
        <f t="shared" si="2"/>
        <v/>
      </c>
      <c r="W33" s="9"/>
      <c r="X33" s="9" t="str">
        <f t="shared" si="2"/>
        <v/>
      </c>
      <c r="Y33" s="9"/>
      <c r="Z33" s="9" t="str">
        <f t="shared" si="1"/>
        <v/>
      </c>
      <c r="AA33" s="9">
        <v>1E-3</v>
      </c>
      <c r="AB33" s="9" t="str">
        <f t="shared" si="1"/>
        <v/>
      </c>
      <c r="AC33" s="9">
        <v>1E-3</v>
      </c>
      <c r="AD33" s="9" t="str">
        <f t="shared" si="1"/>
        <v/>
      </c>
    </row>
    <row r="34" spans="1:30" x14ac:dyDescent="0.25">
      <c r="B34" s="9">
        <v>0.80600000000000005</v>
      </c>
      <c r="C34" s="9" t="str">
        <f t="shared" si="0"/>
        <v/>
      </c>
      <c r="D34" s="9"/>
      <c r="E34" s="9">
        <v>0.81599999999999995</v>
      </c>
      <c r="F34" s="9" t="str">
        <f t="shared" si="0"/>
        <v/>
      </c>
      <c r="G34" s="9"/>
      <c r="H34" s="9" t="str">
        <f t="shared" si="0"/>
        <v/>
      </c>
      <c r="I34" s="9"/>
      <c r="J34" s="9" t="str">
        <f t="shared" si="0"/>
        <v/>
      </c>
      <c r="K34" s="9">
        <v>0.47399999999999998</v>
      </c>
      <c r="L34" s="9" t="str">
        <f t="shared" si="0"/>
        <v/>
      </c>
      <c r="M34" s="9">
        <v>0.28999999999999998</v>
      </c>
      <c r="N34" s="9" t="str">
        <f t="shared" si="2"/>
        <v/>
      </c>
      <c r="O34" s="9">
        <v>0.372</v>
      </c>
      <c r="P34" s="9" t="str">
        <f t="shared" si="2"/>
        <v/>
      </c>
      <c r="Q34" s="9">
        <v>0.32</v>
      </c>
      <c r="R34" s="9" t="str">
        <f t="shared" si="2"/>
        <v/>
      </c>
      <c r="S34" s="9">
        <v>0.97399999999999998</v>
      </c>
      <c r="T34" s="9" t="str">
        <f t="shared" si="2"/>
        <v/>
      </c>
      <c r="U34" s="9">
        <v>0.97699999999999998</v>
      </c>
      <c r="V34" s="9" t="str">
        <f t="shared" si="2"/>
        <v/>
      </c>
      <c r="W34" s="9"/>
      <c r="X34" s="9" t="str">
        <f t="shared" si="2"/>
        <v/>
      </c>
      <c r="Y34" s="9"/>
      <c r="Z34" s="9" t="str">
        <f t="shared" si="1"/>
        <v/>
      </c>
      <c r="AA34" s="9">
        <v>0.94899999999999995</v>
      </c>
      <c r="AB34" s="9" t="str">
        <f t="shared" si="1"/>
        <v/>
      </c>
      <c r="AC34" s="9">
        <v>0.99299999999999999</v>
      </c>
      <c r="AD34" s="9" t="str">
        <f t="shared" si="1"/>
        <v/>
      </c>
    </row>
    <row r="35" spans="1:30" x14ac:dyDescent="0.25">
      <c r="A35" t="s">
        <v>40</v>
      </c>
      <c r="B35" s="9">
        <v>3.6799999999999999E-2</v>
      </c>
      <c r="C35" s="9" t="str">
        <f t="shared" si="0"/>
        <v>*</v>
      </c>
      <c r="D35" s="9" t="str">
        <f>+CONCATENATE(ROUND(B35,3), " ",C35)</f>
        <v>0,037 *</v>
      </c>
      <c r="E35" s="9">
        <v>2.8199999999999999E-2</v>
      </c>
      <c r="F35" s="9" t="str">
        <f t="shared" si="0"/>
        <v/>
      </c>
      <c r="G35" s="9">
        <v>3.2300000000000002E-2</v>
      </c>
      <c r="H35" s="9" t="str">
        <f t="shared" si="0"/>
        <v/>
      </c>
      <c r="I35" s="9">
        <v>2.24E-2</v>
      </c>
      <c r="J35" s="9" t="str">
        <f t="shared" si="0"/>
        <v/>
      </c>
      <c r="K35" s="9">
        <v>-4.3400000000000001E-2</v>
      </c>
      <c r="L35" s="9" t="str">
        <f t="shared" si="0"/>
        <v/>
      </c>
      <c r="M35" s="9">
        <v>-2.4500000000000001E-2</v>
      </c>
      <c r="N35" s="9" t="str">
        <f t="shared" si="2"/>
        <v/>
      </c>
      <c r="O35" s="9">
        <v>-3.0599999999999999E-2</v>
      </c>
      <c r="P35" s="9" t="str">
        <f t="shared" si="2"/>
        <v/>
      </c>
      <c r="Q35" s="9">
        <v>-0.03</v>
      </c>
      <c r="R35" s="9" t="str">
        <f t="shared" si="2"/>
        <v/>
      </c>
      <c r="S35" s="9">
        <v>2.7E-2</v>
      </c>
      <c r="T35" s="9" t="str">
        <f t="shared" si="2"/>
        <v/>
      </c>
      <c r="U35" s="9">
        <v>1.6899999999999998E-2</v>
      </c>
      <c r="V35" s="9" t="str">
        <f t="shared" si="2"/>
        <v/>
      </c>
      <c r="W35" s="9"/>
      <c r="X35" s="9" t="str">
        <f t="shared" si="2"/>
        <v>***</v>
      </c>
      <c r="Y35" s="9"/>
      <c r="Z35" s="9" t="str">
        <f t="shared" si="1"/>
        <v>***</v>
      </c>
      <c r="AA35" s="9">
        <v>3.6799999999999999E-2</v>
      </c>
      <c r="AB35" s="9" t="str">
        <f t="shared" si="1"/>
        <v>*</v>
      </c>
      <c r="AC35" s="9">
        <v>2.5899999999999999E-2</v>
      </c>
      <c r="AD35" s="9" t="str">
        <f t="shared" si="1"/>
        <v/>
      </c>
    </row>
    <row r="36" spans="1:30" x14ac:dyDescent="0.25">
      <c r="B36" s="9">
        <v>2.1999999999999999E-2</v>
      </c>
      <c r="C36" s="9" t="str">
        <f t="shared" si="0"/>
        <v/>
      </c>
      <c r="D36" s="9" t="str">
        <f>+CONCATENATE("(",ROUND(B36,3),")")</f>
        <v>(0,022)</v>
      </c>
      <c r="E36" s="9">
        <v>2.1999999999999999E-2</v>
      </c>
      <c r="F36" s="9" t="str">
        <f t="shared" si="0"/>
        <v/>
      </c>
      <c r="G36" s="9">
        <v>2.1999999999999999E-2</v>
      </c>
      <c r="H36" s="9" t="str">
        <f t="shared" si="0"/>
        <v/>
      </c>
      <c r="I36" s="9">
        <v>2.1000000000000001E-2</v>
      </c>
      <c r="J36" s="9" t="str">
        <f t="shared" si="0"/>
        <v/>
      </c>
      <c r="K36" s="9">
        <v>0.03</v>
      </c>
      <c r="L36" s="9" t="str">
        <f t="shared" si="0"/>
        <v/>
      </c>
      <c r="M36" s="9">
        <v>2.9000000000000001E-2</v>
      </c>
      <c r="N36" s="9" t="str">
        <f t="shared" si="2"/>
        <v/>
      </c>
      <c r="O36" s="9">
        <v>2.9000000000000001E-2</v>
      </c>
      <c r="P36" s="9" t="str">
        <f t="shared" si="2"/>
        <v/>
      </c>
      <c r="Q36" s="9">
        <v>2.9000000000000001E-2</v>
      </c>
      <c r="R36" s="9" t="str">
        <f t="shared" si="2"/>
        <v/>
      </c>
      <c r="S36" s="9">
        <v>2.1000000000000001E-2</v>
      </c>
      <c r="T36" s="9" t="str">
        <f t="shared" si="2"/>
        <v/>
      </c>
      <c r="U36" s="9">
        <v>2.1000000000000001E-2</v>
      </c>
      <c r="V36" s="9" t="str">
        <f t="shared" si="2"/>
        <v/>
      </c>
      <c r="W36" s="9"/>
      <c r="X36" s="9" t="str">
        <f t="shared" si="2"/>
        <v/>
      </c>
      <c r="Y36" s="9"/>
      <c r="Z36" s="9" t="str">
        <f t="shared" si="1"/>
        <v/>
      </c>
      <c r="AA36" s="9">
        <v>2.1999999999999999E-2</v>
      </c>
      <c r="AB36" s="9" t="str">
        <f t="shared" si="1"/>
        <v/>
      </c>
      <c r="AC36" s="9">
        <v>2.1000000000000001E-2</v>
      </c>
      <c r="AD36" s="9" t="str">
        <f t="shared" si="1"/>
        <v/>
      </c>
    </row>
    <row r="37" spans="1:30" x14ac:dyDescent="0.25">
      <c r="B37" s="9">
        <v>9.8000000000000004E-2</v>
      </c>
      <c r="C37" s="9" t="str">
        <f t="shared" si="0"/>
        <v/>
      </c>
      <c r="D37" s="9"/>
      <c r="E37" s="9">
        <v>0.19600000000000001</v>
      </c>
      <c r="F37" s="9" t="str">
        <f t="shared" si="0"/>
        <v/>
      </c>
      <c r="G37" s="9">
        <v>0.13600000000000001</v>
      </c>
      <c r="H37" s="9" t="str">
        <f t="shared" si="0"/>
        <v/>
      </c>
      <c r="I37" s="9">
        <v>0.29799999999999999</v>
      </c>
      <c r="J37" s="9" t="str">
        <f t="shared" si="0"/>
        <v/>
      </c>
      <c r="K37" s="9">
        <v>0.14299999999999999</v>
      </c>
      <c r="L37" s="9" t="str">
        <f t="shared" si="0"/>
        <v/>
      </c>
      <c r="M37" s="9">
        <v>0.39600000000000002</v>
      </c>
      <c r="N37" s="9" t="str">
        <f t="shared" si="2"/>
        <v/>
      </c>
      <c r="O37" s="9">
        <v>0.29099999999999998</v>
      </c>
      <c r="P37" s="9" t="str">
        <f t="shared" si="2"/>
        <v/>
      </c>
      <c r="Q37" s="9">
        <v>0.29399999999999998</v>
      </c>
      <c r="R37" s="9" t="str">
        <f t="shared" si="2"/>
        <v/>
      </c>
      <c r="S37" s="9">
        <v>0.20699999999999999</v>
      </c>
      <c r="T37" s="9" t="str">
        <f t="shared" si="2"/>
        <v/>
      </c>
      <c r="U37" s="9">
        <v>0.43</v>
      </c>
      <c r="V37" s="9" t="str">
        <f t="shared" si="2"/>
        <v/>
      </c>
      <c r="W37" s="9"/>
      <c r="X37" s="9" t="str">
        <f t="shared" si="2"/>
        <v/>
      </c>
      <c r="Y37" s="9"/>
      <c r="Z37" s="9" t="str">
        <f t="shared" si="1"/>
        <v/>
      </c>
      <c r="AA37" s="9">
        <v>8.8999999999999996E-2</v>
      </c>
      <c r="AB37" s="9" t="str">
        <f t="shared" si="1"/>
        <v/>
      </c>
      <c r="AC37" s="9">
        <v>0.223</v>
      </c>
      <c r="AD37" s="9" t="str">
        <f t="shared" si="1"/>
        <v/>
      </c>
    </row>
    <row r="38" spans="1:30" x14ac:dyDescent="0.25">
      <c r="A38" t="s">
        <v>41</v>
      </c>
      <c r="B38" s="9">
        <v>6.6400000000000001E-2</v>
      </c>
      <c r="C38" s="9" t="str">
        <f t="shared" si="0"/>
        <v/>
      </c>
      <c r="D38" s="9" t="str">
        <f>+CONCATENATE(ROUND(B38,3), " ",C38)</f>
        <v xml:space="preserve">0,066 </v>
      </c>
      <c r="E38" s="9">
        <v>6.5500000000000003E-2</v>
      </c>
      <c r="F38" s="9" t="str">
        <f t="shared" si="0"/>
        <v/>
      </c>
      <c r="G38" s="9"/>
      <c r="H38" s="9" t="str">
        <f t="shared" si="0"/>
        <v>***</v>
      </c>
      <c r="I38" s="9"/>
      <c r="J38" s="9" t="str">
        <f t="shared" si="0"/>
        <v>***</v>
      </c>
      <c r="K38" s="9"/>
      <c r="L38" s="9" t="str">
        <f t="shared" si="0"/>
        <v>***</v>
      </c>
      <c r="M38" s="9"/>
      <c r="N38" s="9" t="str">
        <f t="shared" si="2"/>
        <v>***</v>
      </c>
      <c r="O38" s="9">
        <v>0.15540000000000001</v>
      </c>
      <c r="P38" s="9" t="str">
        <f t="shared" si="2"/>
        <v>**</v>
      </c>
      <c r="Q38" s="9">
        <v>0.16500000000000001</v>
      </c>
      <c r="R38" s="9" t="str">
        <f t="shared" si="2"/>
        <v>**</v>
      </c>
      <c r="S38" s="9">
        <v>7.0999999999999994E-2</v>
      </c>
      <c r="T38" s="9" t="str">
        <f t="shared" si="2"/>
        <v/>
      </c>
      <c r="U38" s="9">
        <v>6.3399999999999998E-2</v>
      </c>
      <c r="V38" s="9" t="str">
        <f t="shared" si="2"/>
        <v/>
      </c>
      <c r="W38" s="9">
        <v>7.0400000000000004E-2</v>
      </c>
      <c r="X38" s="9" t="str">
        <f t="shared" si="2"/>
        <v/>
      </c>
      <c r="Y38" s="9">
        <v>6.5600000000000006E-2</v>
      </c>
      <c r="Z38" s="9" t="str">
        <f t="shared" si="1"/>
        <v/>
      </c>
      <c r="AA38" s="9"/>
      <c r="AB38" s="9" t="str">
        <f t="shared" si="1"/>
        <v>***</v>
      </c>
      <c r="AC38" s="9"/>
      <c r="AD38" s="9" t="str">
        <f t="shared" si="1"/>
        <v>***</v>
      </c>
    </row>
    <row r="39" spans="1:30" x14ac:dyDescent="0.25">
      <c r="B39" s="9">
        <v>5.0999999999999997E-2</v>
      </c>
      <c r="C39" s="9" t="str">
        <f t="shared" si="0"/>
        <v/>
      </c>
      <c r="D39" s="9" t="str">
        <f>+CONCATENATE("(",ROUND(B39,3),")")</f>
        <v>(0,051)</v>
      </c>
      <c r="E39" s="9">
        <v>5.1999999999999998E-2</v>
      </c>
      <c r="F39" s="9" t="str">
        <f t="shared" si="0"/>
        <v/>
      </c>
      <c r="G39" s="9"/>
      <c r="H39" s="9" t="str">
        <f t="shared" si="0"/>
        <v/>
      </c>
      <c r="I39" s="9"/>
      <c r="J39" s="9" t="str">
        <f t="shared" si="0"/>
        <v/>
      </c>
      <c r="K39" s="9"/>
      <c r="L39" s="9" t="str">
        <f t="shared" si="0"/>
        <v/>
      </c>
      <c r="M39" s="9"/>
      <c r="N39" s="9" t="str">
        <f t="shared" si="2"/>
        <v/>
      </c>
      <c r="O39" s="9">
        <v>6.8000000000000005E-2</v>
      </c>
      <c r="P39" s="9" t="str">
        <f t="shared" si="2"/>
        <v/>
      </c>
      <c r="Q39" s="9">
        <v>6.9000000000000006E-2</v>
      </c>
      <c r="R39" s="9" t="str">
        <f t="shared" si="2"/>
        <v/>
      </c>
      <c r="S39" s="9">
        <v>5.0999999999999997E-2</v>
      </c>
      <c r="T39" s="9" t="str">
        <f t="shared" si="2"/>
        <v/>
      </c>
      <c r="U39" s="9">
        <v>5.1999999999999998E-2</v>
      </c>
      <c r="V39" s="9" t="str">
        <f t="shared" si="2"/>
        <v/>
      </c>
      <c r="W39" s="9">
        <v>0.05</v>
      </c>
      <c r="X39" s="9" t="str">
        <f t="shared" si="2"/>
        <v/>
      </c>
      <c r="Y39" s="9">
        <v>5.0999999999999997E-2</v>
      </c>
      <c r="Z39" s="9" t="str">
        <f t="shared" si="1"/>
        <v/>
      </c>
      <c r="AA39" s="9"/>
      <c r="AB39" s="9" t="str">
        <f t="shared" si="1"/>
        <v/>
      </c>
      <c r="AC39" s="9"/>
      <c r="AD39" s="9" t="str">
        <f t="shared" si="1"/>
        <v/>
      </c>
    </row>
    <row r="40" spans="1:30" x14ac:dyDescent="0.25">
      <c r="B40" s="9">
        <v>0.19600000000000001</v>
      </c>
      <c r="C40" s="9" t="str">
        <f t="shared" si="0"/>
        <v/>
      </c>
      <c r="D40" s="9"/>
      <c r="E40" s="9">
        <v>0.20699999999999999</v>
      </c>
      <c r="F40" s="9" t="str">
        <f t="shared" si="0"/>
        <v/>
      </c>
      <c r="G40" s="9"/>
      <c r="H40" s="9" t="str">
        <f t="shared" si="0"/>
        <v/>
      </c>
      <c r="I40" s="9"/>
      <c r="J40" s="9" t="str">
        <f t="shared" si="0"/>
        <v/>
      </c>
      <c r="K40" s="9"/>
      <c r="L40" s="9" t="str">
        <f t="shared" si="0"/>
        <v/>
      </c>
      <c r="M40" s="9"/>
      <c r="N40" s="9" t="str">
        <f t="shared" si="2"/>
        <v/>
      </c>
      <c r="O40" s="9">
        <v>2.1999999999999999E-2</v>
      </c>
      <c r="P40" s="9" t="str">
        <f t="shared" si="2"/>
        <v/>
      </c>
      <c r="Q40" s="9">
        <v>1.7000000000000001E-2</v>
      </c>
      <c r="R40" s="9" t="str">
        <f t="shared" si="2"/>
        <v/>
      </c>
      <c r="S40" s="9">
        <v>0.161</v>
      </c>
      <c r="T40" s="9" t="str">
        <f t="shared" si="2"/>
        <v/>
      </c>
      <c r="U40" s="9">
        <v>0.22</v>
      </c>
      <c r="V40" s="9" t="str">
        <f t="shared" si="2"/>
        <v/>
      </c>
      <c r="W40" s="9">
        <v>0.16400000000000001</v>
      </c>
      <c r="X40" s="9" t="str">
        <f t="shared" si="2"/>
        <v/>
      </c>
      <c r="Y40" s="9">
        <v>0.19800000000000001</v>
      </c>
      <c r="Z40" s="9" t="str">
        <f t="shared" si="1"/>
        <v/>
      </c>
      <c r="AA40" s="9"/>
      <c r="AB40" s="9" t="str">
        <f t="shared" si="1"/>
        <v/>
      </c>
      <c r="AC40" s="9"/>
      <c r="AD40" s="9" t="str">
        <f t="shared" si="1"/>
        <v/>
      </c>
    </row>
    <row r="41" spans="1:30" x14ac:dyDescent="0.25">
      <c r="A41" t="s">
        <v>42</v>
      </c>
      <c r="B41" s="9">
        <v>1.9177</v>
      </c>
      <c r="C41" s="9" t="str">
        <f t="shared" si="0"/>
        <v>**</v>
      </c>
      <c r="D41" s="9" t="str">
        <f>+CONCATENATE(ROUND(B41,3), " ",C41)</f>
        <v>1,918 **</v>
      </c>
      <c r="E41" s="9">
        <v>1.6457999999999999</v>
      </c>
      <c r="F41" s="9" t="str">
        <f t="shared" si="0"/>
        <v>*</v>
      </c>
      <c r="G41" s="9"/>
      <c r="H41" s="9" t="str">
        <f t="shared" si="0"/>
        <v>***</v>
      </c>
      <c r="I41" s="9"/>
      <c r="J41" s="9" t="str">
        <f t="shared" si="0"/>
        <v>***</v>
      </c>
      <c r="K41" s="9"/>
      <c r="L41" s="9" t="str">
        <f t="shared" si="0"/>
        <v>***</v>
      </c>
      <c r="M41" s="9"/>
      <c r="N41" s="9" t="str">
        <f t="shared" si="2"/>
        <v>***</v>
      </c>
      <c r="O41" s="9"/>
      <c r="P41" s="9" t="str">
        <f t="shared" si="2"/>
        <v>***</v>
      </c>
      <c r="Q41" s="9"/>
      <c r="R41" s="9" t="str">
        <f t="shared" si="2"/>
        <v>***</v>
      </c>
      <c r="S41" s="9"/>
      <c r="T41" s="9" t="str">
        <f t="shared" si="2"/>
        <v>***</v>
      </c>
      <c r="U41" s="9"/>
      <c r="V41" s="9" t="str">
        <f t="shared" si="2"/>
        <v>***</v>
      </c>
      <c r="W41" s="9">
        <v>1.8124</v>
      </c>
      <c r="X41" s="9" t="str">
        <f t="shared" si="2"/>
        <v>**</v>
      </c>
      <c r="Y41" s="9">
        <v>1.6359999999999999</v>
      </c>
      <c r="Z41" s="9" t="str">
        <f t="shared" si="1"/>
        <v>*</v>
      </c>
      <c r="AA41" s="9"/>
      <c r="AB41" s="9" t="str">
        <f t="shared" si="1"/>
        <v>***</v>
      </c>
      <c r="AC41" s="9"/>
      <c r="AD41" s="9" t="str">
        <f t="shared" si="1"/>
        <v>***</v>
      </c>
    </row>
    <row r="42" spans="1:30" x14ac:dyDescent="0.25">
      <c r="B42" s="9">
        <v>0.88800000000000001</v>
      </c>
      <c r="C42" s="9" t="str">
        <f t="shared" si="0"/>
        <v/>
      </c>
      <c r="D42" s="9" t="str">
        <f>+CONCATENATE("(",ROUND(B42,3),")")</f>
        <v>(0,888)</v>
      </c>
      <c r="E42" s="9">
        <v>0.88900000000000001</v>
      </c>
      <c r="F42" s="9" t="str">
        <f t="shared" si="0"/>
        <v/>
      </c>
      <c r="G42" s="9"/>
      <c r="H42" s="9" t="str">
        <f t="shared" si="0"/>
        <v/>
      </c>
      <c r="I42" s="9"/>
      <c r="J42" s="9" t="str">
        <f t="shared" si="0"/>
        <v/>
      </c>
      <c r="K42" s="9"/>
      <c r="L42" s="9" t="str">
        <f t="shared" si="0"/>
        <v/>
      </c>
      <c r="M42" s="9"/>
      <c r="N42" s="9" t="str">
        <f t="shared" si="2"/>
        <v/>
      </c>
      <c r="O42" s="9"/>
      <c r="P42" s="9" t="str">
        <f t="shared" si="2"/>
        <v/>
      </c>
      <c r="Q42" s="9"/>
      <c r="R42" s="9" t="str">
        <f t="shared" si="2"/>
        <v/>
      </c>
      <c r="S42" s="9"/>
      <c r="T42" s="9" t="str">
        <f t="shared" si="2"/>
        <v/>
      </c>
      <c r="U42" s="9"/>
      <c r="V42" s="9" t="str">
        <f t="shared" si="2"/>
        <v/>
      </c>
      <c r="W42" s="9">
        <v>0.877</v>
      </c>
      <c r="X42" s="9" t="str">
        <f t="shared" si="2"/>
        <v/>
      </c>
      <c r="Y42" s="9">
        <v>0.874</v>
      </c>
      <c r="Z42" s="9" t="str">
        <f t="shared" si="1"/>
        <v/>
      </c>
      <c r="AA42" s="9"/>
      <c r="AB42" s="9" t="str">
        <f t="shared" si="1"/>
        <v/>
      </c>
      <c r="AC42" s="9"/>
      <c r="AD42" s="9" t="str">
        <f t="shared" si="1"/>
        <v/>
      </c>
    </row>
    <row r="43" spans="1:30" x14ac:dyDescent="0.25">
      <c r="B43" s="9">
        <v>3.1E-2</v>
      </c>
      <c r="C43" s="9" t="str">
        <f t="shared" si="0"/>
        <v/>
      </c>
      <c r="D43" s="9"/>
      <c r="E43" s="9">
        <v>6.5000000000000002E-2</v>
      </c>
      <c r="F43" s="9" t="str">
        <f t="shared" si="0"/>
        <v/>
      </c>
      <c r="G43" s="9"/>
      <c r="H43" s="9" t="str">
        <f t="shared" si="0"/>
        <v/>
      </c>
      <c r="I43" s="9"/>
      <c r="J43" s="9" t="str">
        <f t="shared" si="0"/>
        <v/>
      </c>
      <c r="K43" s="9"/>
      <c r="L43" s="9" t="str">
        <f t="shared" si="0"/>
        <v/>
      </c>
      <c r="M43" s="9"/>
      <c r="N43" s="9" t="str">
        <f t="shared" si="2"/>
        <v/>
      </c>
      <c r="O43" s="9"/>
      <c r="P43" s="9" t="str">
        <f t="shared" si="2"/>
        <v/>
      </c>
      <c r="Q43" s="9"/>
      <c r="R43" s="9" t="str">
        <f t="shared" si="2"/>
        <v/>
      </c>
      <c r="S43" s="9"/>
      <c r="T43" s="9" t="str">
        <f t="shared" si="2"/>
        <v/>
      </c>
      <c r="U43" s="9"/>
      <c r="V43" s="9" t="str">
        <f t="shared" si="2"/>
        <v/>
      </c>
      <c r="W43" s="9">
        <v>3.9E-2</v>
      </c>
      <c r="X43" s="9" t="str">
        <f t="shared" si="2"/>
        <v/>
      </c>
      <c r="Y43" s="9">
        <v>6.2E-2</v>
      </c>
      <c r="Z43" s="9" t="str">
        <f t="shared" si="1"/>
        <v/>
      </c>
      <c r="AA43" s="9"/>
      <c r="AB43" s="9" t="str">
        <f t="shared" si="1"/>
        <v/>
      </c>
      <c r="AC43" s="9"/>
      <c r="AD43" s="9" t="str">
        <f t="shared" si="1"/>
        <v/>
      </c>
    </row>
    <row r="44" spans="1:30" x14ac:dyDescent="0.25">
      <c r="A44" t="s">
        <v>43</v>
      </c>
      <c r="B44" s="9">
        <v>-2.1663000000000001</v>
      </c>
      <c r="C44" s="9" t="str">
        <f t="shared" si="0"/>
        <v>**</v>
      </c>
      <c r="D44" s="9" t="str">
        <f>+CONCATENATE(ROUND(B44,3), " ",C44)</f>
        <v>-2,166 **</v>
      </c>
      <c r="E44" s="9">
        <v>-1.7402</v>
      </c>
      <c r="F44" s="9" t="str">
        <f t="shared" si="0"/>
        <v>*</v>
      </c>
      <c r="G44" s="9">
        <v>-0.3054</v>
      </c>
      <c r="H44" s="9" t="str">
        <f t="shared" si="0"/>
        <v>**</v>
      </c>
      <c r="I44" s="9">
        <v>-0.14480000000000001</v>
      </c>
      <c r="J44" s="9" t="str">
        <f t="shared" si="0"/>
        <v/>
      </c>
      <c r="K44" s="9">
        <v>-0.55400000000000005</v>
      </c>
      <c r="L44" s="9" t="str">
        <f t="shared" si="0"/>
        <v>***</v>
      </c>
      <c r="M44" s="9">
        <v>-0.1152</v>
      </c>
      <c r="N44" s="9" t="str">
        <f t="shared" si="2"/>
        <v/>
      </c>
      <c r="O44" s="9"/>
      <c r="P44" s="9" t="str">
        <f t="shared" si="2"/>
        <v>***</v>
      </c>
      <c r="Q44" s="9"/>
      <c r="R44" s="9" t="str">
        <f t="shared" si="2"/>
        <v>***</v>
      </c>
      <c r="S44" s="9"/>
      <c r="T44" s="9" t="str">
        <f t="shared" si="2"/>
        <v>***</v>
      </c>
      <c r="U44" s="9"/>
      <c r="V44" s="9" t="str">
        <f t="shared" si="2"/>
        <v>***</v>
      </c>
      <c r="W44" s="9">
        <v>-2.1568999999999998</v>
      </c>
      <c r="X44" s="9" t="str">
        <f t="shared" ref="X44:AD58" si="3">+IF($A44&lt;&gt;"",IF(W46&lt;0.01,"***",IF(W46&lt;0.05,"**",IF(W46&lt;0.1,"*",""))),"")</f>
        <v>**</v>
      </c>
      <c r="Y44" s="9">
        <v>-1.8438000000000001</v>
      </c>
      <c r="Z44" s="9" t="str">
        <f t="shared" si="3"/>
        <v>*</v>
      </c>
      <c r="AA44" s="9"/>
      <c r="AB44" s="9" t="str">
        <f t="shared" si="3"/>
        <v>***</v>
      </c>
      <c r="AC44" s="9"/>
      <c r="AD44" s="9" t="str">
        <f t="shared" si="3"/>
        <v>***</v>
      </c>
    </row>
    <row r="45" spans="1:30" x14ac:dyDescent="0.25">
      <c r="B45" s="9">
        <v>0.94799999999999995</v>
      </c>
      <c r="C45" s="9" t="str">
        <f t="shared" si="0"/>
        <v/>
      </c>
      <c r="D45" s="9" t="str">
        <f>+CONCATENATE("(",ROUND(B45,3),")")</f>
        <v>(0,948)</v>
      </c>
      <c r="E45" s="9">
        <v>0.96</v>
      </c>
      <c r="F45" s="9" t="str">
        <f t="shared" si="0"/>
        <v/>
      </c>
      <c r="G45" s="9">
        <v>0.127</v>
      </c>
      <c r="H45" s="9" t="str">
        <f t="shared" si="0"/>
        <v/>
      </c>
      <c r="I45" s="9">
        <v>0.152</v>
      </c>
      <c r="J45" s="9" t="str">
        <f t="shared" si="0"/>
        <v/>
      </c>
      <c r="K45" s="9">
        <v>0.153</v>
      </c>
      <c r="L45" s="9" t="str">
        <f t="shared" si="0"/>
        <v/>
      </c>
      <c r="M45" s="9">
        <v>0.19</v>
      </c>
      <c r="N45" s="9" t="str">
        <f t="shared" si="2"/>
        <v/>
      </c>
      <c r="O45" s="9"/>
      <c r="P45" s="9" t="str">
        <f t="shared" si="2"/>
        <v/>
      </c>
      <c r="Q45" s="9"/>
      <c r="R45" s="9" t="str">
        <f t="shared" si="2"/>
        <v/>
      </c>
      <c r="S45" s="9"/>
      <c r="T45" s="9" t="str">
        <f t="shared" si="2"/>
        <v/>
      </c>
      <c r="U45" s="9"/>
      <c r="V45" s="9" t="str">
        <f t="shared" si="2"/>
        <v/>
      </c>
      <c r="W45" s="9">
        <v>0.93700000000000006</v>
      </c>
      <c r="X45" s="9" t="str">
        <f t="shared" si="3"/>
        <v/>
      </c>
      <c r="Y45" s="9">
        <v>0.94399999999999995</v>
      </c>
      <c r="Z45" s="9" t="str">
        <f t="shared" si="3"/>
        <v/>
      </c>
      <c r="AA45" s="9"/>
      <c r="AB45" s="9" t="str">
        <f t="shared" si="3"/>
        <v/>
      </c>
      <c r="AC45" s="9"/>
      <c r="AD45" s="9" t="str">
        <f t="shared" si="3"/>
        <v/>
      </c>
    </row>
    <row r="46" spans="1:30" x14ac:dyDescent="0.25">
      <c r="B46" s="9">
        <v>2.3E-2</v>
      </c>
      <c r="C46" s="9" t="str">
        <f t="shared" si="0"/>
        <v/>
      </c>
      <c r="D46" s="9"/>
      <c r="E46" s="9">
        <v>7.0999999999999994E-2</v>
      </c>
      <c r="F46" s="9" t="str">
        <f t="shared" si="0"/>
        <v/>
      </c>
      <c r="G46" s="9">
        <v>1.6E-2</v>
      </c>
      <c r="H46" s="9" t="str">
        <f t="shared" si="0"/>
        <v/>
      </c>
      <c r="I46" s="9">
        <v>0.34200000000000003</v>
      </c>
      <c r="J46" s="9" t="str">
        <f t="shared" si="0"/>
        <v/>
      </c>
      <c r="K46" s="9">
        <v>0</v>
      </c>
      <c r="L46" s="9" t="str">
        <f t="shared" si="0"/>
        <v/>
      </c>
      <c r="M46" s="9">
        <v>0.54400000000000004</v>
      </c>
      <c r="N46" s="9" t="str">
        <f t="shared" si="2"/>
        <v/>
      </c>
      <c r="O46" s="9"/>
      <c r="P46" s="9" t="str">
        <f t="shared" si="2"/>
        <v/>
      </c>
      <c r="Q46" s="9"/>
      <c r="R46" s="9" t="str">
        <f t="shared" si="2"/>
        <v/>
      </c>
      <c r="S46" s="9"/>
      <c r="T46" s="9" t="str">
        <f t="shared" si="2"/>
        <v/>
      </c>
      <c r="U46" s="9"/>
      <c r="V46" s="9" t="str">
        <f t="shared" si="2"/>
        <v/>
      </c>
      <c r="W46" s="9">
        <v>2.1999999999999999E-2</v>
      </c>
      <c r="X46" s="9" t="str">
        <f t="shared" si="3"/>
        <v/>
      </c>
      <c r="Y46" s="9">
        <v>5.1999999999999998E-2</v>
      </c>
      <c r="Z46" s="9" t="str">
        <f t="shared" si="3"/>
        <v/>
      </c>
      <c r="AA46" s="9"/>
      <c r="AB46" s="9" t="str">
        <f t="shared" si="3"/>
        <v/>
      </c>
      <c r="AC46" s="9"/>
      <c r="AD46" s="9" t="str">
        <f t="shared" si="3"/>
        <v/>
      </c>
    </row>
    <row r="47" spans="1:30" x14ac:dyDescent="0.25">
      <c r="A47" t="s">
        <v>44</v>
      </c>
      <c r="B47" s="9">
        <v>-1.603</v>
      </c>
      <c r="C47" s="9" t="str">
        <f t="shared" si="0"/>
        <v>**</v>
      </c>
      <c r="D47" s="9" t="str">
        <f>+CONCATENATE(ROUND(B47,3), " ",C47)</f>
        <v>-1,603 **</v>
      </c>
      <c r="E47" s="9">
        <v>-1.9186000000000001</v>
      </c>
      <c r="F47" s="9" t="str">
        <f t="shared" si="0"/>
        <v>**</v>
      </c>
      <c r="G47" s="9">
        <v>-1.4853000000000001</v>
      </c>
      <c r="H47" s="9" t="str">
        <f t="shared" si="0"/>
        <v>**</v>
      </c>
      <c r="I47" s="9">
        <v>-1.7077</v>
      </c>
      <c r="J47" s="9" t="str">
        <f t="shared" si="0"/>
        <v>*</v>
      </c>
      <c r="K47" s="9"/>
      <c r="L47" s="9" t="str">
        <f t="shared" si="0"/>
        <v>***</v>
      </c>
      <c r="M47" s="9"/>
      <c r="N47" s="9" t="str">
        <f t="shared" si="2"/>
        <v>***</v>
      </c>
      <c r="O47" s="9">
        <v>-1.3366</v>
      </c>
      <c r="P47" s="9" t="str">
        <f t="shared" si="2"/>
        <v/>
      </c>
      <c r="Q47" s="9">
        <v>-1.9362999999999999</v>
      </c>
      <c r="R47" s="9" t="str">
        <f t="shared" si="2"/>
        <v/>
      </c>
      <c r="S47" s="9">
        <v>-1.0831</v>
      </c>
      <c r="T47" s="9" t="str">
        <f t="shared" si="2"/>
        <v/>
      </c>
      <c r="U47" s="9">
        <v>-1.5147999999999999</v>
      </c>
      <c r="V47" s="9" t="str">
        <f t="shared" si="2"/>
        <v/>
      </c>
      <c r="W47" s="9">
        <v>-1.5650999999999999</v>
      </c>
      <c r="X47" s="9" t="str">
        <f t="shared" si="3"/>
        <v>**</v>
      </c>
      <c r="Y47" s="9">
        <v>-1.8217000000000001</v>
      </c>
      <c r="Z47" s="9" t="str">
        <f t="shared" si="3"/>
        <v>**</v>
      </c>
      <c r="AA47" s="9"/>
      <c r="AB47" s="9" t="str">
        <f t="shared" si="3"/>
        <v>***</v>
      </c>
      <c r="AC47" s="9"/>
      <c r="AD47" s="9" t="str">
        <f t="shared" si="3"/>
        <v>***</v>
      </c>
    </row>
    <row r="48" spans="1:30" x14ac:dyDescent="0.25">
      <c r="B48" s="9">
        <v>0.79800000000000004</v>
      </c>
      <c r="C48" s="9" t="str">
        <f t="shared" si="0"/>
        <v/>
      </c>
      <c r="D48" s="9" t="str">
        <f>+CONCATENATE("(",ROUND(B48,3),")")</f>
        <v>(0,798)</v>
      </c>
      <c r="E48" s="9">
        <v>0.94699999999999995</v>
      </c>
      <c r="F48" s="9" t="str">
        <f t="shared" si="0"/>
        <v/>
      </c>
      <c r="G48" s="9">
        <v>0.752</v>
      </c>
      <c r="H48" s="9" t="str">
        <f t="shared" si="0"/>
        <v/>
      </c>
      <c r="I48" s="9">
        <v>0.90800000000000003</v>
      </c>
      <c r="J48" s="9" t="str">
        <f t="shared" si="0"/>
        <v/>
      </c>
      <c r="K48" s="9"/>
      <c r="L48" s="9" t="str">
        <f t="shared" si="0"/>
        <v/>
      </c>
      <c r="M48" s="9"/>
      <c r="N48" s="9" t="str">
        <f t="shared" si="2"/>
        <v/>
      </c>
      <c r="O48" s="9">
        <v>1.0289999999999999</v>
      </c>
      <c r="P48" s="9" t="str">
        <f t="shared" si="2"/>
        <v/>
      </c>
      <c r="Q48" s="9">
        <v>1.2490000000000001</v>
      </c>
      <c r="R48" s="9" t="str">
        <f t="shared" si="2"/>
        <v/>
      </c>
      <c r="S48" s="9">
        <v>0.75700000000000001</v>
      </c>
      <c r="T48" s="9" t="str">
        <f t="shared" si="2"/>
        <v/>
      </c>
      <c r="U48" s="9">
        <v>0.92400000000000004</v>
      </c>
      <c r="V48" s="9" t="str">
        <f t="shared" si="2"/>
        <v/>
      </c>
      <c r="W48" s="9">
        <v>0.75700000000000001</v>
      </c>
      <c r="X48" s="9" t="str">
        <f t="shared" si="3"/>
        <v/>
      </c>
      <c r="Y48" s="9">
        <v>0.90800000000000003</v>
      </c>
      <c r="Z48" s="9" t="str">
        <f t="shared" si="3"/>
        <v/>
      </c>
      <c r="AA48" s="9"/>
      <c r="AB48" s="9" t="str">
        <f t="shared" si="3"/>
        <v/>
      </c>
      <c r="AC48" s="9"/>
      <c r="AD48" s="9" t="str">
        <f t="shared" si="3"/>
        <v/>
      </c>
    </row>
    <row r="49" spans="1:30" x14ac:dyDescent="0.25">
      <c r="B49" s="9">
        <v>4.4999999999999998E-2</v>
      </c>
      <c r="C49" s="9" t="str">
        <f t="shared" si="0"/>
        <v/>
      </c>
      <c r="D49" s="9"/>
      <c r="E49" s="9">
        <v>4.3999999999999997E-2</v>
      </c>
      <c r="F49" s="9" t="str">
        <f t="shared" si="0"/>
        <v/>
      </c>
      <c r="G49" s="9">
        <v>4.9000000000000002E-2</v>
      </c>
      <c r="H49" s="9" t="str">
        <f t="shared" si="0"/>
        <v/>
      </c>
      <c r="I49" s="9">
        <v>6.0999999999999999E-2</v>
      </c>
      <c r="J49" s="9" t="str">
        <f t="shared" si="0"/>
        <v/>
      </c>
      <c r="K49" s="9"/>
      <c r="L49" s="9" t="str">
        <f t="shared" si="0"/>
        <v/>
      </c>
      <c r="M49" s="9"/>
      <c r="N49" s="9" t="str">
        <f t="shared" si="2"/>
        <v/>
      </c>
      <c r="O49" s="9">
        <v>0.19500000000000001</v>
      </c>
      <c r="P49" s="9" t="str">
        <f t="shared" si="2"/>
        <v/>
      </c>
      <c r="Q49" s="9">
        <v>0.122</v>
      </c>
      <c r="R49" s="9" t="str">
        <f t="shared" si="2"/>
        <v/>
      </c>
      <c r="S49" s="9">
        <v>0.153</v>
      </c>
      <c r="T49" s="9" t="str">
        <f t="shared" si="2"/>
        <v/>
      </c>
      <c r="U49" s="9">
        <v>0.10199999999999999</v>
      </c>
      <c r="V49" s="9" t="str">
        <f t="shared" si="2"/>
        <v/>
      </c>
      <c r="W49" s="9">
        <v>3.9E-2</v>
      </c>
      <c r="X49" s="9" t="str">
        <f t="shared" si="3"/>
        <v/>
      </c>
      <c r="Y49" s="9">
        <v>4.5999999999999999E-2</v>
      </c>
      <c r="Z49" s="9" t="str">
        <f t="shared" si="3"/>
        <v/>
      </c>
      <c r="AA49" s="9"/>
      <c r="AB49" s="9" t="str">
        <f t="shared" si="3"/>
        <v/>
      </c>
      <c r="AC49" s="9"/>
      <c r="AD49" s="9" t="str">
        <f t="shared" si="3"/>
        <v/>
      </c>
    </row>
    <row r="50" spans="1:30" x14ac:dyDescent="0.25">
      <c r="A50" t="s">
        <v>45</v>
      </c>
      <c r="B50" s="9">
        <v>16.946100000000001</v>
      </c>
      <c r="C50" s="9" t="str">
        <f t="shared" si="0"/>
        <v>***</v>
      </c>
      <c r="D50" s="9" t="str">
        <f>+CONCATENATE(ROUND(B50,3), " ",C50)</f>
        <v>16,946 ***</v>
      </c>
      <c r="E50" s="9">
        <v>16.776800000000001</v>
      </c>
      <c r="F50" s="9" t="str">
        <f t="shared" si="0"/>
        <v>***</v>
      </c>
      <c r="G50" s="9">
        <v>17.1252</v>
      </c>
      <c r="H50" s="9" t="str">
        <f t="shared" si="0"/>
        <v>***</v>
      </c>
      <c r="I50" s="9">
        <v>16.7638</v>
      </c>
      <c r="J50" s="9" t="str">
        <f t="shared" si="0"/>
        <v>***</v>
      </c>
      <c r="K50" s="9"/>
      <c r="L50" s="9" t="str">
        <f t="shared" si="0"/>
        <v>***</v>
      </c>
      <c r="M50" s="9"/>
      <c r="N50" s="9" t="str">
        <f t="shared" si="2"/>
        <v>***</v>
      </c>
      <c r="O50" s="9"/>
      <c r="P50" s="9" t="str">
        <f t="shared" si="2"/>
        <v>***</v>
      </c>
      <c r="Q50" s="9"/>
      <c r="R50" s="9" t="str">
        <f t="shared" si="2"/>
        <v>***</v>
      </c>
      <c r="S50" s="9">
        <v>16.691800000000001</v>
      </c>
      <c r="T50" s="9" t="str">
        <f t="shared" si="2"/>
        <v>***</v>
      </c>
      <c r="U50" s="9">
        <v>16.457999999999998</v>
      </c>
      <c r="V50" s="9" t="str">
        <f t="shared" si="2"/>
        <v>***</v>
      </c>
      <c r="W50" s="9">
        <v>16.720400000000001</v>
      </c>
      <c r="X50" s="9" t="str">
        <f t="shared" si="3"/>
        <v>***</v>
      </c>
      <c r="Y50" s="9">
        <v>16.677900000000001</v>
      </c>
      <c r="Z50" s="9" t="str">
        <f t="shared" si="3"/>
        <v>***</v>
      </c>
      <c r="AA50" s="9">
        <v>17.0427</v>
      </c>
      <c r="AB50" s="9" t="str">
        <f t="shared" si="3"/>
        <v>***</v>
      </c>
      <c r="AC50" s="9">
        <v>16.747299999999999</v>
      </c>
      <c r="AD50" s="9" t="str">
        <f t="shared" si="3"/>
        <v>***</v>
      </c>
    </row>
    <row r="51" spans="1:30" x14ac:dyDescent="0.25">
      <c r="B51" s="9">
        <v>0.93700000000000006</v>
      </c>
      <c r="C51" s="9" t="str">
        <f t="shared" si="0"/>
        <v/>
      </c>
      <c r="D51" s="9" t="str">
        <f>+CONCATENATE("(",ROUND(B51,3),")")</f>
        <v>(0,937)</v>
      </c>
      <c r="E51" s="9">
        <v>0.95199999999999996</v>
      </c>
      <c r="F51" s="9" t="str">
        <f t="shared" si="0"/>
        <v/>
      </c>
      <c r="G51" s="9">
        <v>0.89900000000000002</v>
      </c>
      <c r="H51" s="9" t="str">
        <f t="shared" si="0"/>
        <v/>
      </c>
      <c r="I51" s="9">
        <v>0.93700000000000006</v>
      </c>
      <c r="J51" s="9" t="str">
        <f t="shared" si="0"/>
        <v/>
      </c>
      <c r="K51" s="9"/>
      <c r="L51" s="9" t="str">
        <f t="shared" si="0"/>
        <v/>
      </c>
      <c r="M51" s="9"/>
      <c r="N51" s="9" t="str">
        <f t="shared" si="2"/>
        <v/>
      </c>
      <c r="O51" s="9"/>
      <c r="P51" s="9" t="str">
        <f t="shared" si="2"/>
        <v/>
      </c>
      <c r="Q51" s="9"/>
      <c r="R51" s="9" t="str">
        <f t="shared" si="2"/>
        <v/>
      </c>
      <c r="S51" s="9">
        <v>0.91900000000000004</v>
      </c>
      <c r="T51" s="9" t="str">
        <f t="shared" si="2"/>
        <v/>
      </c>
      <c r="U51" s="9">
        <v>0.95</v>
      </c>
      <c r="V51" s="9" t="str">
        <f t="shared" si="2"/>
        <v/>
      </c>
      <c r="W51" s="9">
        <v>0.91400000000000003</v>
      </c>
      <c r="X51" s="9" t="str">
        <f t="shared" si="3"/>
        <v/>
      </c>
      <c r="Y51" s="9">
        <v>0.93300000000000005</v>
      </c>
      <c r="Z51" s="9" t="str">
        <f t="shared" si="3"/>
        <v/>
      </c>
      <c r="AA51" s="9">
        <v>0.91100000000000003</v>
      </c>
      <c r="AB51" s="9" t="str">
        <f t="shared" si="3"/>
        <v/>
      </c>
      <c r="AC51" s="9">
        <v>0.93400000000000005</v>
      </c>
      <c r="AD51" s="9" t="str">
        <f t="shared" si="3"/>
        <v/>
      </c>
    </row>
    <row r="52" spans="1:30" x14ac:dyDescent="0.25">
      <c r="B52" s="9">
        <v>0</v>
      </c>
      <c r="C52" s="9" t="str">
        <f t="shared" si="0"/>
        <v/>
      </c>
      <c r="D52" s="9"/>
      <c r="E52" s="9">
        <v>0</v>
      </c>
      <c r="F52" s="9" t="str">
        <f t="shared" si="0"/>
        <v/>
      </c>
      <c r="G52" s="9">
        <v>0</v>
      </c>
      <c r="H52" s="9" t="str">
        <f t="shared" si="0"/>
        <v/>
      </c>
      <c r="I52" s="9">
        <v>0</v>
      </c>
      <c r="J52" s="9" t="str">
        <f t="shared" si="0"/>
        <v/>
      </c>
      <c r="K52" s="9"/>
      <c r="L52" s="9" t="str">
        <f t="shared" si="0"/>
        <v/>
      </c>
      <c r="M52" s="9"/>
      <c r="N52" s="9" t="str">
        <f t="shared" si="2"/>
        <v/>
      </c>
      <c r="O52" s="9"/>
      <c r="P52" s="9" t="str">
        <f t="shared" si="2"/>
        <v/>
      </c>
      <c r="Q52" s="9"/>
      <c r="R52" s="9" t="str">
        <f t="shared" si="2"/>
        <v/>
      </c>
      <c r="S52" s="9">
        <v>0</v>
      </c>
      <c r="T52" s="9" t="str">
        <f t="shared" si="2"/>
        <v/>
      </c>
      <c r="U52" s="9">
        <v>0</v>
      </c>
      <c r="V52" s="9" t="str">
        <f t="shared" si="2"/>
        <v/>
      </c>
      <c r="W52" s="9">
        <v>0</v>
      </c>
      <c r="X52" s="9" t="str">
        <f t="shared" si="3"/>
        <v/>
      </c>
      <c r="Y52" s="9">
        <v>0</v>
      </c>
      <c r="Z52" s="9" t="str">
        <f t="shared" si="3"/>
        <v/>
      </c>
      <c r="AA52" s="9">
        <v>0</v>
      </c>
      <c r="AB52" s="9" t="str">
        <f t="shared" si="3"/>
        <v/>
      </c>
      <c r="AC52" s="9">
        <v>0</v>
      </c>
      <c r="AD52" s="9" t="str">
        <f t="shared" si="3"/>
        <v/>
      </c>
    </row>
    <row r="53" spans="1:30" x14ac:dyDescent="0.25">
      <c r="A53" t="s">
        <v>46</v>
      </c>
      <c r="B53" s="9">
        <v>0.28910000000000002</v>
      </c>
      <c r="C53" s="9" t="str">
        <f t="shared" si="0"/>
        <v/>
      </c>
      <c r="D53" s="9" t="str">
        <f>+CONCATENATE(ROUND(B53,3), " ",C53)</f>
        <v xml:space="preserve">0,289 </v>
      </c>
      <c r="E53" s="9">
        <v>14.4397</v>
      </c>
      <c r="F53" s="9" t="str">
        <f t="shared" si="0"/>
        <v/>
      </c>
      <c r="G53" s="9"/>
      <c r="H53" s="9" t="str">
        <f t="shared" si="0"/>
        <v>***</v>
      </c>
      <c r="I53" s="9"/>
      <c r="J53" s="9" t="str">
        <f t="shared" si="0"/>
        <v>***</v>
      </c>
      <c r="K53" s="9"/>
      <c r="L53" s="9" t="str">
        <f t="shared" si="0"/>
        <v>***</v>
      </c>
      <c r="M53" s="9"/>
      <c r="N53" s="9" t="str">
        <f t="shared" si="2"/>
        <v>***</v>
      </c>
      <c r="O53" s="9">
        <v>14.3878</v>
      </c>
      <c r="P53" s="9" t="str">
        <f t="shared" si="2"/>
        <v>*</v>
      </c>
      <c r="Q53" s="9">
        <v>5.3436000000000003</v>
      </c>
      <c r="R53" s="9" t="str">
        <f t="shared" si="2"/>
        <v/>
      </c>
      <c r="S53" s="9"/>
      <c r="T53" s="9" t="str">
        <f t="shared" si="2"/>
        <v>***</v>
      </c>
      <c r="U53" s="9"/>
      <c r="V53" s="9" t="str">
        <f t="shared" si="2"/>
        <v>***</v>
      </c>
      <c r="W53" s="9">
        <v>-1.0444</v>
      </c>
      <c r="X53" s="9" t="str">
        <f t="shared" si="3"/>
        <v/>
      </c>
      <c r="Y53" s="9">
        <v>13.573399999999999</v>
      </c>
      <c r="Z53" s="9" t="str">
        <f t="shared" si="3"/>
        <v/>
      </c>
      <c r="AA53" s="9">
        <v>6.7287999999999997</v>
      </c>
      <c r="AB53" s="9" t="str">
        <f t="shared" si="3"/>
        <v>***</v>
      </c>
      <c r="AC53" s="9">
        <v>4.9116</v>
      </c>
      <c r="AD53" s="9" t="str">
        <f t="shared" si="3"/>
        <v>**</v>
      </c>
    </row>
    <row r="54" spans="1:30" x14ac:dyDescent="0.25">
      <c r="B54" s="9">
        <v>6.9880000000000004</v>
      </c>
      <c r="C54" s="9" t="str">
        <f t="shared" si="0"/>
        <v/>
      </c>
      <c r="D54" s="9" t="str">
        <f>+CONCATENATE("(",ROUND(B54,3),")")</f>
        <v>(6,988)</v>
      </c>
      <c r="E54" s="9">
        <v>8.9589999999999996</v>
      </c>
      <c r="F54" s="9" t="str">
        <f t="shared" si="0"/>
        <v/>
      </c>
      <c r="G54" s="9"/>
      <c r="H54" s="9" t="str">
        <f t="shared" si="0"/>
        <v/>
      </c>
      <c r="I54" s="9"/>
      <c r="J54" s="9" t="str">
        <f t="shared" si="0"/>
        <v/>
      </c>
      <c r="K54" s="9"/>
      <c r="L54" s="9" t="str">
        <f t="shared" si="0"/>
        <v/>
      </c>
      <c r="M54" s="9"/>
      <c r="N54" s="9" t="str">
        <f t="shared" si="2"/>
        <v/>
      </c>
      <c r="O54" s="9">
        <v>8.6910000000000007</v>
      </c>
      <c r="P54" s="9" t="str">
        <f t="shared" si="2"/>
        <v/>
      </c>
      <c r="Q54" s="9">
        <v>11.109</v>
      </c>
      <c r="R54" s="9" t="str">
        <f t="shared" si="2"/>
        <v/>
      </c>
      <c r="S54" s="9"/>
      <c r="T54" s="9" t="str">
        <f t="shared" si="2"/>
        <v/>
      </c>
      <c r="U54" s="9"/>
      <c r="V54" s="9" t="str">
        <f t="shared" si="2"/>
        <v/>
      </c>
      <c r="W54" s="9">
        <v>6.7679999999999998</v>
      </c>
      <c r="X54" s="9" t="str">
        <f t="shared" si="3"/>
        <v/>
      </c>
      <c r="Y54" s="9">
        <v>8.7780000000000005</v>
      </c>
      <c r="Z54" s="9" t="str">
        <f t="shared" si="3"/>
        <v/>
      </c>
      <c r="AA54" s="9">
        <v>1.647</v>
      </c>
      <c r="AB54" s="9" t="str">
        <f t="shared" si="3"/>
        <v/>
      </c>
      <c r="AC54" s="9">
        <v>2.4009999999999998</v>
      </c>
      <c r="AD54" s="9" t="str">
        <f t="shared" si="3"/>
        <v/>
      </c>
    </row>
    <row r="55" spans="1:30" x14ac:dyDescent="0.25">
      <c r="B55" s="9">
        <v>0.96699999999999997</v>
      </c>
      <c r="C55" s="9" t="str">
        <f t="shared" si="0"/>
        <v/>
      </c>
      <c r="D55" s="9"/>
      <c r="E55" s="9">
        <v>0.108</v>
      </c>
      <c r="F55" s="9" t="str">
        <f t="shared" si="0"/>
        <v/>
      </c>
      <c r="G55" s="9"/>
      <c r="H55" s="9" t="str">
        <f t="shared" si="0"/>
        <v/>
      </c>
      <c r="I55" s="9"/>
      <c r="J55" s="9" t="str">
        <f t="shared" si="0"/>
        <v/>
      </c>
      <c r="K55" s="9"/>
      <c r="L55" s="9" t="str">
        <f t="shared" si="0"/>
        <v/>
      </c>
      <c r="M55" s="9"/>
      <c r="N55" s="9" t="str">
        <f t="shared" si="2"/>
        <v/>
      </c>
      <c r="O55" s="9">
        <v>9.9000000000000005E-2</v>
      </c>
      <c r="P55" s="9" t="str">
        <f t="shared" si="2"/>
        <v/>
      </c>
      <c r="Q55" s="9">
        <v>0.63100000000000001</v>
      </c>
      <c r="R55" s="9" t="str">
        <f t="shared" si="2"/>
        <v/>
      </c>
      <c r="S55" s="9"/>
      <c r="T55" s="9" t="str">
        <f t="shared" si="2"/>
        <v/>
      </c>
      <c r="U55" s="9"/>
      <c r="V55" s="9" t="str">
        <f t="shared" si="2"/>
        <v/>
      </c>
      <c r="W55" s="9">
        <v>0.877</v>
      </c>
      <c r="X55" s="9" t="str">
        <f t="shared" si="3"/>
        <v/>
      </c>
      <c r="Y55" s="9">
        <v>0.123</v>
      </c>
      <c r="Z55" s="9" t="str">
        <f t="shared" si="3"/>
        <v/>
      </c>
      <c r="AA55" s="9">
        <v>0</v>
      </c>
      <c r="AB55" s="9" t="str">
        <f t="shared" si="3"/>
        <v/>
      </c>
      <c r="AC55" s="9">
        <v>4.1000000000000002E-2</v>
      </c>
      <c r="AD55" s="9" t="str">
        <f t="shared" si="3"/>
        <v/>
      </c>
    </row>
    <row r="56" spans="1:30" x14ac:dyDescent="0.25">
      <c r="A56" t="s">
        <v>47</v>
      </c>
      <c r="B56" s="9">
        <v>1.5E-3</v>
      </c>
      <c r="C56" s="9" t="str">
        <f t="shared" si="0"/>
        <v/>
      </c>
      <c r="D56" s="9" t="str">
        <f>+CONCATENATE(ROUND(B56,3), " ",C56)</f>
        <v xml:space="preserve">0,002 </v>
      </c>
      <c r="E56" s="9">
        <v>5.0000000000000001E-4</v>
      </c>
      <c r="F56" s="9" t="str">
        <f t="shared" si="0"/>
        <v/>
      </c>
      <c r="G56" s="9"/>
      <c r="H56" s="9" t="str">
        <f t="shared" si="0"/>
        <v>***</v>
      </c>
      <c r="I56" s="9"/>
      <c r="J56" s="9" t="str">
        <f t="shared" si="0"/>
        <v>***</v>
      </c>
      <c r="K56" s="9">
        <v>5.0000000000000001E-3</v>
      </c>
      <c r="L56" s="9" t="str">
        <f t="shared" si="0"/>
        <v>**</v>
      </c>
      <c r="M56" s="9">
        <v>3.0999999999999999E-3</v>
      </c>
      <c r="N56" s="9" t="str">
        <f t="shared" si="2"/>
        <v/>
      </c>
      <c r="O56" s="9">
        <v>1.9E-3</v>
      </c>
      <c r="P56" s="9" t="str">
        <f t="shared" si="2"/>
        <v/>
      </c>
      <c r="Q56" s="9">
        <v>8.9999999999999998E-4</v>
      </c>
      <c r="R56" s="9" t="str">
        <f t="shared" si="2"/>
        <v/>
      </c>
      <c r="S56" s="9"/>
      <c r="T56" s="9" t="str">
        <f t="shared" si="2"/>
        <v>***</v>
      </c>
      <c r="U56" s="9"/>
      <c r="V56" s="9" t="str">
        <f t="shared" si="2"/>
        <v>***</v>
      </c>
      <c r="W56" s="9"/>
      <c r="X56" s="9" t="str">
        <f t="shared" si="3"/>
        <v>***</v>
      </c>
      <c r="Y56" s="9"/>
      <c r="Z56" s="9" t="str">
        <f t="shared" si="3"/>
        <v>***</v>
      </c>
      <c r="AA56" s="9"/>
      <c r="AB56" s="9" t="str">
        <f t="shared" si="3"/>
        <v>***</v>
      </c>
      <c r="AC56" s="9"/>
      <c r="AD56" s="9" t="str">
        <f t="shared" si="3"/>
        <v>***</v>
      </c>
    </row>
    <row r="57" spans="1:30" x14ac:dyDescent="0.25">
      <c r="B57" s="9">
        <v>2E-3</v>
      </c>
      <c r="C57" s="9" t="str">
        <f t="shared" si="0"/>
        <v/>
      </c>
      <c r="D57" s="9" t="str">
        <f>+CONCATENATE("(",ROUND(B57,3),")")</f>
        <v>(0,002)</v>
      </c>
      <c r="E57" s="9">
        <v>2E-3</v>
      </c>
      <c r="F57" s="9" t="str">
        <f t="shared" si="0"/>
        <v/>
      </c>
      <c r="G57" s="9"/>
      <c r="H57" s="9" t="str">
        <f t="shared" si="0"/>
        <v/>
      </c>
      <c r="I57" s="9"/>
      <c r="J57" s="9" t="str">
        <f t="shared" si="0"/>
        <v/>
      </c>
      <c r="K57" s="9">
        <v>2E-3</v>
      </c>
      <c r="L57" s="9" t="str">
        <f t="shared" si="0"/>
        <v/>
      </c>
      <c r="M57" s="9">
        <v>2E-3</v>
      </c>
      <c r="N57" s="9" t="str">
        <f t="shared" si="2"/>
        <v/>
      </c>
      <c r="O57" s="9">
        <v>2E-3</v>
      </c>
      <c r="P57" s="9" t="str">
        <f t="shared" si="2"/>
        <v/>
      </c>
      <c r="Q57" s="9">
        <v>2E-3</v>
      </c>
      <c r="R57" s="9" t="str">
        <f t="shared" si="2"/>
        <v/>
      </c>
      <c r="S57" s="9"/>
      <c r="T57" s="9" t="str">
        <f t="shared" si="2"/>
        <v/>
      </c>
      <c r="U57" s="9"/>
      <c r="V57" s="9" t="str">
        <f t="shared" si="2"/>
        <v/>
      </c>
      <c r="W57" s="9"/>
      <c r="X57" s="9" t="str">
        <f t="shared" si="3"/>
        <v/>
      </c>
      <c r="Y57" s="9"/>
      <c r="Z57" s="9" t="str">
        <f t="shared" si="3"/>
        <v/>
      </c>
      <c r="AA57" s="9"/>
      <c r="AB57" s="9" t="str">
        <f t="shared" si="3"/>
        <v/>
      </c>
      <c r="AC57" s="9"/>
      <c r="AD57" s="9" t="str">
        <f t="shared" si="3"/>
        <v/>
      </c>
    </row>
    <row r="58" spans="1:30" x14ac:dyDescent="0.25">
      <c r="A58" s="3"/>
      <c r="B58" s="10">
        <v>0.40799999999999997</v>
      </c>
      <c r="C58" s="9" t="str">
        <f t="shared" si="0"/>
        <v/>
      </c>
      <c r="D58" s="9"/>
      <c r="E58" s="10">
        <v>0.79800000000000004</v>
      </c>
      <c r="F58" s="9" t="str">
        <f t="shared" si="0"/>
        <v/>
      </c>
      <c r="G58" s="10"/>
      <c r="H58" s="9" t="str">
        <f t="shared" si="0"/>
        <v/>
      </c>
      <c r="I58" s="10"/>
      <c r="J58" s="9" t="str">
        <f t="shared" si="0"/>
        <v/>
      </c>
      <c r="K58" s="10">
        <v>2.5999999999999999E-2</v>
      </c>
      <c r="L58" s="9" t="str">
        <f t="shared" si="0"/>
        <v/>
      </c>
      <c r="M58" s="10">
        <v>0.15</v>
      </c>
      <c r="N58" s="9" t="str">
        <f t="shared" si="2"/>
        <v/>
      </c>
      <c r="O58" s="10">
        <v>0.437</v>
      </c>
      <c r="P58" s="9" t="str">
        <f t="shared" si="2"/>
        <v/>
      </c>
      <c r="Q58" s="10">
        <v>0.70799999999999996</v>
      </c>
      <c r="R58" s="9" t="str">
        <f t="shared" si="2"/>
        <v/>
      </c>
      <c r="S58" s="10"/>
      <c r="T58" s="9" t="str">
        <f t="shared" si="2"/>
        <v/>
      </c>
      <c r="U58" s="10"/>
      <c r="V58" s="9" t="str">
        <f t="shared" si="2"/>
        <v/>
      </c>
      <c r="W58" s="10"/>
      <c r="X58" s="9" t="str">
        <f t="shared" si="3"/>
        <v/>
      </c>
      <c r="Y58" s="10"/>
      <c r="Z58" s="9" t="str">
        <f t="shared" si="3"/>
        <v/>
      </c>
      <c r="AA58" s="10"/>
      <c r="AB58" s="9" t="str">
        <f t="shared" si="3"/>
        <v/>
      </c>
      <c r="AC58" s="10"/>
      <c r="AD58" s="9" t="str">
        <f t="shared" si="3"/>
        <v/>
      </c>
    </row>
    <row r="59" spans="1:3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5">
      <c r="A60" s="2" t="s">
        <v>21</v>
      </c>
      <c r="B60" s="4" t="s">
        <v>22</v>
      </c>
      <c r="C60" s="4"/>
      <c r="D60" s="4"/>
      <c r="E60" s="4" t="s">
        <v>23</v>
      </c>
      <c r="F60" s="4"/>
      <c r="G60" s="4" t="s">
        <v>22</v>
      </c>
      <c r="H60" s="4"/>
      <c r="I60" s="4" t="s">
        <v>23</v>
      </c>
      <c r="J60" s="4"/>
      <c r="K60" s="4" t="s">
        <v>22</v>
      </c>
      <c r="L60" s="4"/>
      <c r="M60" s="4" t="s">
        <v>23</v>
      </c>
      <c r="N60" s="4"/>
      <c r="O60" s="4" t="s">
        <v>22</v>
      </c>
      <c r="P60" s="4"/>
      <c r="Q60" s="4" t="s">
        <v>23</v>
      </c>
      <c r="R60" s="4"/>
      <c r="S60" s="4" t="s">
        <v>22</v>
      </c>
      <c r="T60" s="4"/>
      <c r="U60" s="4" t="s">
        <v>23</v>
      </c>
      <c r="V60" s="4"/>
      <c r="W60" s="4" t="s">
        <v>22</v>
      </c>
      <c r="X60" s="4"/>
      <c r="Y60" s="4" t="s">
        <v>23</v>
      </c>
      <c r="Z60" s="4"/>
      <c r="AA60" s="4" t="s">
        <v>22</v>
      </c>
      <c r="AB60" s="4"/>
      <c r="AC60" s="4" t="s">
        <v>23</v>
      </c>
      <c r="AD60" s="4"/>
    </row>
    <row r="61" spans="1:3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5">
      <c r="A62" t="s">
        <v>24</v>
      </c>
      <c r="B62" s="5">
        <v>490.34</v>
      </c>
      <c r="C62" s="5"/>
      <c r="D62" s="5"/>
      <c r="E62" s="5">
        <v>67.709999999999994</v>
      </c>
      <c r="F62" s="5"/>
      <c r="G62" s="5">
        <v>628.08000000000004</v>
      </c>
      <c r="H62" s="5"/>
      <c r="I62" s="5">
        <v>76.430000000000007</v>
      </c>
      <c r="J62" s="5"/>
      <c r="K62" s="5">
        <v>44.33</v>
      </c>
      <c r="L62" s="5"/>
      <c r="M62" s="5">
        <v>63.72</v>
      </c>
      <c r="N62" s="5"/>
      <c r="O62" s="5">
        <v>70.02</v>
      </c>
      <c r="P62" s="5"/>
      <c r="Q62" s="5">
        <v>62.13</v>
      </c>
      <c r="R62" s="5"/>
      <c r="S62" s="5">
        <v>449.91</v>
      </c>
      <c r="T62" s="5"/>
      <c r="U62" s="5">
        <v>71.260000000000005</v>
      </c>
      <c r="V62" s="5"/>
      <c r="W62" s="5">
        <v>870.28</v>
      </c>
      <c r="X62" s="5"/>
      <c r="Y62" s="5">
        <v>71.25</v>
      </c>
      <c r="Z62" s="5"/>
      <c r="AA62" s="5">
        <v>613.51</v>
      </c>
      <c r="AB62" s="5"/>
      <c r="AC62" s="5">
        <v>73.75</v>
      </c>
      <c r="AD62" s="5"/>
    </row>
    <row r="63" spans="1:30" x14ac:dyDescent="0.25">
      <c r="A63" t="s">
        <v>25</v>
      </c>
      <c r="B63" s="5">
        <v>2531.25</v>
      </c>
      <c r="C63" s="5"/>
      <c r="D63" s="5"/>
      <c r="E63" s="5">
        <v>229.88</v>
      </c>
      <c r="F63" s="5"/>
      <c r="G63" s="5">
        <v>2464.75</v>
      </c>
      <c r="H63" s="5"/>
      <c r="I63" s="5">
        <v>223.1</v>
      </c>
      <c r="J63" s="5"/>
      <c r="K63" s="5">
        <v>162.97</v>
      </c>
      <c r="L63" s="5"/>
      <c r="M63" s="5">
        <v>186.36</v>
      </c>
      <c r="N63" s="5"/>
      <c r="O63" s="5">
        <v>215.79</v>
      </c>
      <c r="P63" s="5"/>
      <c r="Q63" s="5">
        <v>192.98</v>
      </c>
      <c r="R63" s="5"/>
      <c r="S63" s="5">
        <v>2438.48</v>
      </c>
      <c r="T63" s="5"/>
      <c r="U63" s="5">
        <v>226.92</v>
      </c>
      <c r="V63" s="5"/>
      <c r="W63" s="5">
        <v>2391.3200000000002</v>
      </c>
      <c r="X63" s="5"/>
      <c r="Y63" s="5">
        <v>194.04</v>
      </c>
      <c r="Z63" s="5"/>
      <c r="AA63" s="5">
        <v>2425.6</v>
      </c>
      <c r="AB63" s="5"/>
      <c r="AC63" s="5">
        <v>216.13</v>
      </c>
      <c r="AD63" s="5"/>
    </row>
    <row r="64" spans="1:30" x14ac:dyDescent="0.25">
      <c r="A64" t="s">
        <v>26</v>
      </c>
      <c r="B64" s="6">
        <v>0.6470588235294118</v>
      </c>
      <c r="C64" s="6"/>
      <c r="D64" s="6"/>
      <c r="E64" s="6">
        <v>0.69047619047619047</v>
      </c>
      <c r="F64" s="6"/>
      <c r="G64" s="6">
        <v>0.75</v>
      </c>
      <c r="H64" s="6"/>
      <c r="I64" s="6">
        <v>0.75757575757575757</v>
      </c>
      <c r="J64" s="6"/>
      <c r="K64" s="6">
        <v>0.625</v>
      </c>
      <c r="L64" s="6"/>
      <c r="M64" s="6">
        <v>0.75757575757575757</v>
      </c>
      <c r="N64" s="6"/>
      <c r="O64" s="6">
        <v>0.63636363636363635</v>
      </c>
      <c r="P64" s="6"/>
      <c r="Q64" s="6">
        <v>0.75</v>
      </c>
      <c r="R64" s="6"/>
      <c r="S64" s="6">
        <v>0.45454545454545447</v>
      </c>
      <c r="T64" s="6"/>
      <c r="U64" s="6">
        <v>0.69444444444444442</v>
      </c>
      <c r="V64" s="6"/>
      <c r="W64" s="6">
        <v>0.77777777777777779</v>
      </c>
      <c r="X64" s="6"/>
      <c r="Y64" s="6">
        <v>0.8529411764705882</v>
      </c>
      <c r="Z64" s="6"/>
      <c r="AA64" s="6">
        <v>0.625</v>
      </c>
      <c r="AB64" s="6"/>
      <c r="AC64" s="6">
        <v>0.75757575757575757</v>
      </c>
      <c r="AD64" s="6"/>
    </row>
    <row r="65" spans="1:30" x14ac:dyDescent="0.25">
      <c r="A65" s="3" t="s">
        <v>27</v>
      </c>
      <c r="B65" s="7">
        <v>0.23529411764705879</v>
      </c>
      <c r="C65" s="7"/>
      <c r="D65" s="7"/>
      <c r="E65" s="7">
        <v>0.5</v>
      </c>
      <c r="F65" s="7"/>
      <c r="G65" s="7">
        <v>0.25</v>
      </c>
      <c r="H65" s="7"/>
      <c r="I65" s="7">
        <v>0.5757575757575758</v>
      </c>
      <c r="J65" s="7"/>
      <c r="K65" s="7">
        <v>0.25</v>
      </c>
      <c r="L65" s="7"/>
      <c r="M65" s="7">
        <v>0.5757575757575758</v>
      </c>
      <c r="N65" s="7"/>
      <c r="O65" s="7">
        <v>0.36363636363636359</v>
      </c>
      <c r="P65" s="7"/>
      <c r="Q65" s="7">
        <v>0.52777777777777779</v>
      </c>
      <c r="R65" s="7"/>
      <c r="S65" s="7">
        <v>0.1818181818181818</v>
      </c>
      <c r="T65" s="7"/>
      <c r="U65" s="7">
        <v>0.52777777777777779</v>
      </c>
      <c r="V65" s="7"/>
      <c r="W65" s="7">
        <v>0.44444444444444442</v>
      </c>
      <c r="X65" s="7"/>
      <c r="Y65" s="7">
        <v>0.52941176470588236</v>
      </c>
      <c r="Z65" s="7"/>
      <c r="AA65" s="7">
        <v>0.25</v>
      </c>
      <c r="AB65" s="7"/>
      <c r="AC65" s="7">
        <v>0.5757575757575758</v>
      </c>
      <c r="AD65" s="7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D65"/>
  <sheetViews>
    <sheetView workbookViewId="0">
      <selection activeCell="D1" sqref="D1:D1048576"/>
    </sheetView>
  </sheetViews>
  <sheetFormatPr baseColWidth="10" defaultColWidth="9.140625" defaultRowHeight="15" x14ac:dyDescent="0.25"/>
  <cols>
    <col min="1" max="1" width="76.85546875" bestFit="1" customWidth="1"/>
    <col min="3" max="4" width="10.7109375" customWidth="1"/>
    <col min="6" max="6" width="10.7109375" customWidth="1"/>
    <col min="8" max="8" width="10.7109375" customWidth="1"/>
    <col min="10" max="10" width="10.7109375" customWidth="1"/>
    <col min="12" max="12" width="10.7109375" customWidth="1"/>
    <col min="14" max="14" width="10.7109375" customWidth="1"/>
    <col min="16" max="16" width="10.7109375" customWidth="1"/>
    <col min="18" max="18" width="10.7109375" customWidth="1"/>
    <col min="20" max="20" width="10.7109375" customWidth="1"/>
    <col min="22" max="22" width="10.7109375" customWidth="1"/>
    <col min="24" max="24" width="10.7109375" customWidth="1"/>
    <col min="26" max="26" width="10.7109375" customWidth="1"/>
    <col min="28" max="28" width="10.7109375" customWidth="1"/>
    <col min="30" max="30" width="10.7109375" customWidth="1"/>
  </cols>
  <sheetData>
    <row r="1" spans="1:30" x14ac:dyDescent="0.25">
      <c r="A1" s="12" t="s">
        <v>0</v>
      </c>
      <c r="B1" s="1" t="s">
        <v>1</v>
      </c>
      <c r="C1" s="1"/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  <c r="M1" s="1" t="s">
        <v>6</v>
      </c>
      <c r="N1" s="1"/>
      <c r="O1" s="1" t="s">
        <v>7</v>
      </c>
      <c r="P1" s="1"/>
      <c r="Q1" s="1" t="s">
        <v>8</v>
      </c>
      <c r="R1" s="1"/>
      <c r="S1" s="1" t="s">
        <v>9</v>
      </c>
      <c r="T1" s="1"/>
      <c r="U1" s="1" t="s">
        <v>10</v>
      </c>
      <c r="V1" s="1"/>
      <c r="W1" s="1" t="s">
        <v>11</v>
      </c>
      <c r="X1" s="1"/>
      <c r="Y1" s="1" t="s">
        <v>12</v>
      </c>
      <c r="Z1" s="1"/>
      <c r="AA1" s="1" t="s">
        <v>13</v>
      </c>
      <c r="AB1" s="1"/>
      <c r="AC1" s="1" t="s">
        <v>14</v>
      </c>
      <c r="AD1" s="1"/>
    </row>
    <row r="2" spans="1:30" x14ac:dyDescent="0.25">
      <c r="A2" s="2" t="s">
        <v>15</v>
      </c>
      <c r="B2" s="4" t="s">
        <v>28</v>
      </c>
      <c r="C2" s="4"/>
      <c r="D2" s="4"/>
      <c r="E2" s="4" t="s">
        <v>28</v>
      </c>
      <c r="F2" s="4"/>
      <c r="G2" s="4" t="s">
        <v>28</v>
      </c>
      <c r="H2" s="4"/>
      <c r="I2" s="4" t="s">
        <v>28</v>
      </c>
      <c r="J2" s="4"/>
      <c r="K2" s="4" t="s">
        <v>28</v>
      </c>
      <c r="L2" s="4"/>
      <c r="M2" s="4" t="s">
        <v>28</v>
      </c>
      <c r="N2" s="4"/>
      <c r="O2" s="4" t="s">
        <v>28</v>
      </c>
      <c r="P2" s="4"/>
      <c r="Q2" s="4" t="s">
        <v>28</v>
      </c>
      <c r="R2" s="4"/>
      <c r="S2" s="4" t="s">
        <v>28</v>
      </c>
      <c r="T2" s="4"/>
      <c r="U2" s="4" t="s">
        <v>28</v>
      </c>
      <c r="V2" s="4"/>
      <c r="W2" s="4" t="s">
        <v>28</v>
      </c>
      <c r="X2" s="4"/>
      <c r="Y2" s="4" t="s">
        <v>28</v>
      </c>
      <c r="Z2" s="4"/>
      <c r="AA2" s="4" t="s">
        <v>28</v>
      </c>
      <c r="AB2" s="4"/>
      <c r="AC2" s="4" t="s">
        <v>28</v>
      </c>
      <c r="AD2" s="4"/>
    </row>
    <row r="3" spans="1:3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t="s">
        <v>17</v>
      </c>
      <c r="B4" s="8" t="s">
        <v>30</v>
      </c>
      <c r="C4" s="8"/>
      <c r="D4" s="8"/>
      <c r="E4" s="8" t="s">
        <v>30</v>
      </c>
      <c r="F4" s="8"/>
      <c r="G4" s="8" t="s">
        <v>30</v>
      </c>
      <c r="H4" s="8"/>
      <c r="I4" s="8" t="s">
        <v>30</v>
      </c>
      <c r="J4" s="8"/>
      <c r="K4" s="8" t="s">
        <v>30</v>
      </c>
      <c r="L4" s="8"/>
      <c r="M4" s="8" t="s">
        <v>30</v>
      </c>
      <c r="N4" s="8"/>
      <c r="O4" s="8" t="s">
        <v>30</v>
      </c>
      <c r="P4" s="8"/>
      <c r="Q4" s="8" t="s">
        <v>30</v>
      </c>
      <c r="R4" s="8"/>
      <c r="S4" s="8" t="s">
        <v>30</v>
      </c>
      <c r="T4" s="8"/>
      <c r="U4" s="8" t="s">
        <v>30</v>
      </c>
      <c r="V4" s="8"/>
      <c r="W4" s="8" t="s">
        <v>30</v>
      </c>
      <c r="X4" s="8"/>
      <c r="Y4" s="8" t="s">
        <v>30</v>
      </c>
      <c r="Z4" s="8"/>
      <c r="AA4" s="8" t="s">
        <v>30</v>
      </c>
      <c r="AB4" s="8"/>
      <c r="AC4" s="8" t="s">
        <v>30</v>
      </c>
      <c r="AD4" s="8"/>
    </row>
    <row r="5" spans="1:30" x14ac:dyDescent="0.25">
      <c r="A5" t="s">
        <v>19</v>
      </c>
      <c r="B5" s="6">
        <v>0.97</v>
      </c>
      <c r="C5" s="6"/>
      <c r="D5" s="6"/>
      <c r="E5" s="6">
        <v>0.97699999999999998</v>
      </c>
      <c r="F5" s="6"/>
      <c r="G5" s="6">
        <v>0.93700000000000006</v>
      </c>
      <c r="H5" s="6"/>
      <c r="I5" s="6">
        <v>0.95199999999999996</v>
      </c>
      <c r="J5" s="6"/>
      <c r="K5" s="6">
        <v>0.92700000000000005</v>
      </c>
      <c r="L5" s="6"/>
      <c r="M5" s="6">
        <v>0.94699999999999995</v>
      </c>
      <c r="N5" s="6"/>
      <c r="O5" s="6">
        <v>0.71799999999999997</v>
      </c>
      <c r="P5" s="6"/>
      <c r="Q5" s="6">
        <v>0.82699999999999996</v>
      </c>
      <c r="R5" s="6"/>
      <c r="S5" s="6">
        <v>0.73</v>
      </c>
      <c r="T5" s="6"/>
      <c r="U5" s="6">
        <v>0.81799999999999995</v>
      </c>
      <c r="V5" s="6"/>
      <c r="W5" s="6">
        <v>0.96699999999999997</v>
      </c>
      <c r="X5" s="6"/>
      <c r="Y5" s="6">
        <v>0.97599999999999998</v>
      </c>
      <c r="Z5" s="6"/>
      <c r="AA5" s="6">
        <v>0.92600000000000005</v>
      </c>
      <c r="AB5" s="6"/>
      <c r="AC5" s="6">
        <v>0.94599999999999995</v>
      </c>
      <c r="AD5" s="6"/>
    </row>
    <row r="6" spans="1:30" x14ac:dyDescent="0.25">
      <c r="A6" s="3" t="s">
        <v>20</v>
      </c>
      <c r="B6" s="7">
        <v>0.96899999999999997</v>
      </c>
      <c r="C6" s="7"/>
      <c r="D6" s="7"/>
      <c r="E6" s="7">
        <v>0.97499999999999998</v>
      </c>
      <c r="F6" s="7"/>
      <c r="G6" s="7">
        <v>0.93600000000000005</v>
      </c>
      <c r="H6" s="7"/>
      <c r="I6" s="7">
        <v>0.94799999999999995</v>
      </c>
      <c r="J6" s="7"/>
      <c r="K6" s="7">
        <v>0.92600000000000005</v>
      </c>
      <c r="L6" s="7"/>
      <c r="M6" s="7">
        <v>0.94299999999999995</v>
      </c>
      <c r="N6" s="7"/>
      <c r="O6" s="7">
        <v>0.71099999999999997</v>
      </c>
      <c r="P6" s="7"/>
      <c r="Q6" s="7">
        <v>0.81200000000000006</v>
      </c>
      <c r="R6" s="7"/>
      <c r="S6" s="7">
        <v>0.72299999999999998</v>
      </c>
      <c r="T6" s="7"/>
      <c r="U6" s="7">
        <v>0.80200000000000005</v>
      </c>
      <c r="V6" s="7"/>
      <c r="W6" s="7">
        <v>0.96699999999999997</v>
      </c>
      <c r="X6" s="7"/>
      <c r="Y6" s="7">
        <v>0.97399999999999998</v>
      </c>
      <c r="Z6" s="7"/>
      <c r="AA6" s="7">
        <v>0.92500000000000004</v>
      </c>
      <c r="AB6" s="7"/>
      <c r="AC6" s="7">
        <v>0.94199999999999995</v>
      </c>
      <c r="AD6" s="7"/>
    </row>
    <row r="7" spans="1:3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13" t="s">
        <v>31</v>
      </c>
      <c r="B8" s="9">
        <v>-0.43780000000000002</v>
      </c>
      <c r="C8" s="9" t="str">
        <f>+IF($A8&lt;&gt;"",IF(B10&lt;0.01,"***",IF(B10&lt;0.05,"**",IF(B10&lt;0.1,"*",""))),"")</f>
        <v>***</v>
      </c>
      <c r="D8" s="9" t="str">
        <f>+CONCATENATE(ROUND(B8,3), " ",C8)</f>
        <v>-0,438 ***</v>
      </c>
      <c r="E8" s="9">
        <v>-0.19539999999999999</v>
      </c>
      <c r="F8" s="9" t="str">
        <f>+IF($A8&lt;&gt;"",IF(E10&lt;0.01,"***",IF(E10&lt;0.05,"**",IF(E10&lt;0.1,"*",""))),"")</f>
        <v/>
      </c>
      <c r="G8" s="9">
        <v>-0.17979999999999999</v>
      </c>
      <c r="H8" s="9" t="str">
        <f>+IF($A8&lt;&gt;"",IF(G10&lt;0.01,"***",IF(G10&lt;0.05,"**",IF(G10&lt;0.1,"*",""))),"")</f>
        <v/>
      </c>
      <c r="I8" s="9">
        <v>-8.2000000000000003E-2</v>
      </c>
      <c r="J8" s="9" t="str">
        <f>+IF($A8&lt;&gt;"",IF(I10&lt;0.01,"***",IF(I10&lt;0.05,"**",IF(I10&lt;0.1,"*",""))),"")</f>
        <v/>
      </c>
      <c r="K8" s="9">
        <v>-9.0700000000000003E-2</v>
      </c>
      <c r="L8" s="9" t="str">
        <f>+IF($A8&lt;&gt;"",IF(K10&lt;0.01,"***",IF(K10&lt;0.05,"**",IF(K10&lt;0.1,"*",""))),"")</f>
        <v/>
      </c>
      <c r="M8" s="9">
        <v>-6.4899999999999999E-2</v>
      </c>
      <c r="N8" s="9" t="str">
        <f>+IF($A8&lt;&gt;"",IF(M10&lt;0.01,"***",IF(M10&lt;0.05,"**",IF(M10&lt;0.1,"*",""))),"")</f>
        <v/>
      </c>
      <c r="O8" s="9">
        <v>0.78439999999999999</v>
      </c>
      <c r="P8" s="9" t="str">
        <f>+IF($A8&lt;&gt;"",IF(O10&lt;0.01,"***",IF(O10&lt;0.05,"**",IF(O10&lt;0.1,"*",""))),"")</f>
        <v>***</v>
      </c>
      <c r="Q8" s="9">
        <v>0.6673</v>
      </c>
      <c r="R8" s="9" t="str">
        <f>+IF($A8&lt;&gt;"",IF(Q10&lt;0.01,"***",IF(Q10&lt;0.05,"**",IF(Q10&lt;0.1,"*",""))),"")</f>
        <v>***</v>
      </c>
      <c r="S8" s="9">
        <v>-1.2814000000000001</v>
      </c>
      <c r="T8" s="9" t="str">
        <f>+IF($A8&lt;&gt;"",IF(S10&lt;0.01,"***",IF(S10&lt;0.05,"**",IF(S10&lt;0.1,"*",""))),"")</f>
        <v>***</v>
      </c>
      <c r="U8" s="9">
        <v>-0.24379999999999999</v>
      </c>
      <c r="V8" s="9" t="str">
        <f>+IF($A8&lt;&gt;"",IF(U10&lt;0.01,"***",IF(U10&lt;0.05,"**",IF(U10&lt;0.1,"*",""))),"")</f>
        <v/>
      </c>
      <c r="W8" s="9">
        <v>-0.11559999999999999</v>
      </c>
      <c r="X8" s="9" t="str">
        <f>+IF($A8&lt;&gt;"",IF(W10&lt;0.01,"***",IF(W10&lt;0.05,"**",IF(W10&lt;0.1,"*",""))),"")</f>
        <v>***</v>
      </c>
      <c r="Y8" s="9">
        <v>-8.0699999999999994E-2</v>
      </c>
      <c r="Z8" s="9" t="str">
        <f>+IF($A8&lt;&gt;"",IF(Y10&lt;0.01,"***",IF(Y10&lt;0.05,"**",IF(Y10&lt;0.1,"*",""))),"")</f>
        <v>***</v>
      </c>
      <c r="AA8" s="9">
        <v>-0.22489999999999999</v>
      </c>
      <c r="AB8" s="9" t="str">
        <f>+IF($A8&lt;&gt;"",IF(AA10&lt;0.01,"***",IF(AA10&lt;0.05,"**",IF(AA10&lt;0.1,"*",""))),"")</f>
        <v/>
      </c>
      <c r="AC8" s="9">
        <v>-0.16500000000000001</v>
      </c>
      <c r="AD8" s="9" t="str">
        <f>+IF($A8&lt;&gt;"",IF(AC10&lt;0.01,"***",IF(AC10&lt;0.05,"**",IF(AC10&lt;0.1,"*",""))),"")</f>
        <v/>
      </c>
    </row>
    <row r="9" spans="1:30" x14ac:dyDescent="0.25">
      <c r="A9" s="14"/>
      <c r="B9" s="9">
        <v>0.16200000000000001</v>
      </c>
      <c r="C9" s="9" t="str">
        <f t="shared" ref="C9:N58" si="0">+IF($A9&lt;&gt;"",IF(B11&lt;0.01,"***",IF(B11&lt;0.05,"**",IF(B11&lt;0.1,"*",""))),"")</f>
        <v/>
      </c>
      <c r="D9" s="9" t="str">
        <f>+CONCATENATE("(",ROUND(B9,3),")")</f>
        <v>(0,162)</v>
      </c>
      <c r="E9" s="9">
        <v>0.14699999999999999</v>
      </c>
      <c r="F9" s="9" t="str">
        <f t="shared" si="0"/>
        <v/>
      </c>
      <c r="G9" s="9">
        <v>0.22500000000000001</v>
      </c>
      <c r="H9" s="9" t="str">
        <f t="shared" si="0"/>
        <v/>
      </c>
      <c r="I9" s="9">
        <v>0.20799999999999999</v>
      </c>
      <c r="J9" s="9" t="str">
        <f t="shared" si="0"/>
        <v/>
      </c>
      <c r="K9" s="9">
        <v>7.9000000000000001E-2</v>
      </c>
      <c r="L9" s="9" t="str">
        <f t="shared" si="0"/>
        <v/>
      </c>
      <c r="M9" s="9">
        <v>7.1999999999999995E-2</v>
      </c>
      <c r="N9" s="9" t="str">
        <f t="shared" si="0"/>
        <v/>
      </c>
      <c r="O9" s="9">
        <v>0.16300000000000001</v>
      </c>
      <c r="P9" s="9" t="str">
        <f t="shared" ref="P9:AD43" si="1">+IF($A9&lt;&gt;"",IF(O11&lt;0.01,"***",IF(O11&lt;0.05,"**",IF(O11&lt;0.1,"*",""))),"")</f>
        <v/>
      </c>
      <c r="Q9" s="9">
        <v>0.13800000000000001</v>
      </c>
      <c r="R9" s="9" t="str">
        <f t="shared" si="1"/>
        <v/>
      </c>
      <c r="S9" s="9">
        <v>0.47599999999999998</v>
      </c>
      <c r="T9" s="9" t="str">
        <f t="shared" si="1"/>
        <v/>
      </c>
      <c r="U9" s="9">
        <v>0.40600000000000003</v>
      </c>
      <c r="V9" s="9" t="str">
        <f t="shared" si="1"/>
        <v/>
      </c>
      <c r="W9" s="9">
        <v>2.1000000000000001E-2</v>
      </c>
      <c r="X9" s="9" t="str">
        <f t="shared" si="1"/>
        <v/>
      </c>
      <c r="Y9" s="9">
        <v>2.4E-2</v>
      </c>
      <c r="Z9" s="9" t="str">
        <f t="shared" si="1"/>
        <v/>
      </c>
      <c r="AA9" s="9">
        <v>0.214</v>
      </c>
      <c r="AB9" s="9" t="str">
        <f t="shared" si="1"/>
        <v/>
      </c>
      <c r="AC9" s="9">
        <v>0.19500000000000001</v>
      </c>
      <c r="AD9" s="9" t="str">
        <f t="shared" si="1"/>
        <v/>
      </c>
    </row>
    <row r="10" spans="1:30" x14ac:dyDescent="0.25">
      <c r="A10" s="14"/>
      <c r="B10" s="9">
        <v>7.0000000000000001E-3</v>
      </c>
      <c r="C10" s="9" t="str">
        <f t="shared" si="0"/>
        <v/>
      </c>
      <c r="D10" s="9"/>
      <c r="E10" s="9">
        <v>0.184</v>
      </c>
      <c r="F10" s="9" t="str">
        <f t="shared" si="0"/>
        <v/>
      </c>
      <c r="G10" s="9">
        <v>0.42499999999999999</v>
      </c>
      <c r="H10" s="9" t="str">
        <f t="shared" si="0"/>
        <v/>
      </c>
      <c r="I10" s="9">
        <v>0.69299999999999995</v>
      </c>
      <c r="J10" s="9" t="str">
        <f t="shared" si="0"/>
        <v/>
      </c>
      <c r="K10" s="9">
        <v>0.25</v>
      </c>
      <c r="L10" s="9" t="str">
        <f t="shared" si="0"/>
        <v/>
      </c>
      <c r="M10" s="9">
        <v>0.37</v>
      </c>
      <c r="N10" s="9" t="str">
        <f t="shared" si="0"/>
        <v/>
      </c>
      <c r="O10" s="9">
        <v>0</v>
      </c>
      <c r="P10" s="9" t="str">
        <f t="shared" si="1"/>
        <v/>
      </c>
      <c r="Q10" s="9">
        <v>0</v>
      </c>
      <c r="R10" s="9" t="str">
        <f t="shared" si="1"/>
        <v/>
      </c>
      <c r="S10" s="9">
        <v>7.0000000000000001E-3</v>
      </c>
      <c r="T10" s="9" t="str">
        <f t="shared" si="1"/>
        <v/>
      </c>
      <c r="U10" s="9">
        <v>0.54900000000000004</v>
      </c>
      <c r="V10" s="9" t="str">
        <f t="shared" si="1"/>
        <v/>
      </c>
      <c r="W10" s="9">
        <v>0</v>
      </c>
      <c r="X10" s="9" t="str">
        <f t="shared" si="1"/>
        <v/>
      </c>
      <c r="Y10" s="9">
        <v>1E-3</v>
      </c>
      <c r="Z10" s="9" t="str">
        <f t="shared" si="1"/>
        <v/>
      </c>
      <c r="AA10" s="9">
        <v>0.29399999999999998</v>
      </c>
      <c r="AB10" s="9" t="str">
        <f t="shared" si="1"/>
        <v/>
      </c>
      <c r="AC10" s="9">
        <v>0.39800000000000002</v>
      </c>
      <c r="AD10" s="9" t="str">
        <f t="shared" si="1"/>
        <v/>
      </c>
    </row>
    <row r="11" spans="1:30" x14ac:dyDescent="0.25">
      <c r="A11" t="s">
        <v>32</v>
      </c>
      <c r="B11" s="9">
        <v>-9.0950000000000002E-6</v>
      </c>
      <c r="C11" s="9" t="str">
        <f t="shared" si="0"/>
        <v/>
      </c>
      <c r="D11" s="9" t="str">
        <f>+CONCATENATE(ROUND(B11,3), " ",C11)</f>
        <v xml:space="preserve">0 </v>
      </c>
      <c r="E11" s="9">
        <v>2.478E-5</v>
      </c>
      <c r="F11" s="9" t="str">
        <f t="shared" si="0"/>
        <v/>
      </c>
      <c r="G11" s="9">
        <v>-7.7889999999999997E-7</v>
      </c>
      <c r="H11" s="9" t="str">
        <f t="shared" si="0"/>
        <v/>
      </c>
      <c r="I11" s="9">
        <v>3.7329999999999997E-5</v>
      </c>
      <c r="J11" s="9" t="str">
        <f t="shared" si="0"/>
        <v/>
      </c>
      <c r="K11" s="9">
        <v>-1E-4</v>
      </c>
      <c r="L11" s="9" t="str">
        <f t="shared" si="0"/>
        <v>*</v>
      </c>
      <c r="M11" s="9">
        <v>-1.0550000000000001E-5</v>
      </c>
      <c r="N11" s="9" t="str">
        <f t="shared" si="0"/>
        <v/>
      </c>
      <c r="O11" s="9">
        <v>4.0000000000000002E-4</v>
      </c>
      <c r="P11" s="9" t="str">
        <f t="shared" si="1"/>
        <v>***</v>
      </c>
      <c r="Q11" s="9">
        <v>4.0000000000000002E-4</v>
      </c>
      <c r="R11" s="9" t="str">
        <f t="shared" si="1"/>
        <v>***</v>
      </c>
      <c r="S11" s="9"/>
      <c r="T11" s="9" t="str">
        <f t="shared" si="1"/>
        <v>***</v>
      </c>
      <c r="U11" s="9"/>
      <c r="V11" s="9" t="str">
        <f t="shared" si="1"/>
        <v>***</v>
      </c>
      <c r="W11" s="9">
        <v>1.9979999999999998E-5</v>
      </c>
      <c r="X11" s="9" t="str">
        <f t="shared" si="1"/>
        <v/>
      </c>
      <c r="Y11" s="9">
        <v>3.7020000000000001E-5</v>
      </c>
      <c r="Z11" s="9" t="str">
        <f t="shared" si="1"/>
        <v/>
      </c>
      <c r="AA11" s="9"/>
      <c r="AB11" s="9" t="str">
        <f t="shared" si="1"/>
        <v>***</v>
      </c>
      <c r="AC11" s="9"/>
      <c r="AD11" s="9" t="str">
        <f t="shared" si="1"/>
        <v>***</v>
      </c>
    </row>
    <row r="12" spans="1:30" x14ac:dyDescent="0.25">
      <c r="B12" s="9">
        <v>4.5099999999999998E-5</v>
      </c>
      <c r="C12" s="9" t="str">
        <f t="shared" si="0"/>
        <v/>
      </c>
      <c r="D12" s="9" t="str">
        <f>+CONCATENATE("(",ROUND(B12,3),")")</f>
        <v>(0)</v>
      </c>
      <c r="E12" s="9">
        <v>4.35E-5</v>
      </c>
      <c r="F12" s="9" t="str">
        <f t="shared" si="0"/>
        <v/>
      </c>
      <c r="G12" s="9">
        <v>6.2600000000000004E-5</v>
      </c>
      <c r="H12" s="9" t="str">
        <f t="shared" si="0"/>
        <v/>
      </c>
      <c r="I12" s="9">
        <v>6.1600000000000007E-5</v>
      </c>
      <c r="J12" s="9" t="str">
        <f t="shared" si="0"/>
        <v/>
      </c>
      <c r="K12" s="9">
        <v>6.58E-5</v>
      </c>
      <c r="L12" s="9" t="str">
        <f t="shared" si="0"/>
        <v/>
      </c>
      <c r="M12" s="9">
        <v>6.3600000000000001E-5</v>
      </c>
      <c r="N12" s="9" t="str">
        <f t="shared" si="0"/>
        <v/>
      </c>
      <c r="O12" s="9">
        <v>0</v>
      </c>
      <c r="P12" s="9" t="str">
        <f t="shared" si="1"/>
        <v/>
      </c>
      <c r="Q12" s="9">
        <v>0</v>
      </c>
      <c r="R12" s="9" t="str">
        <f t="shared" si="1"/>
        <v/>
      </c>
      <c r="S12" s="9"/>
      <c r="T12" s="9" t="str">
        <f t="shared" si="1"/>
        <v/>
      </c>
      <c r="U12" s="9"/>
      <c r="V12" s="9" t="str">
        <f t="shared" si="1"/>
        <v/>
      </c>
      <c r="W12" s="9">
        <v>4.49E-5</v>
      </c>
      <c r="X12" s="9" t="str">
        <f t="shared" si="1"/>
        <v/>
      </c>
      <c r="Y12" s="9">
        <v>4.3099999999999997E-5</v>
      </c>
      <c r="Z12" s="9" t="str">
        <f t="shared" si="1"/>
        <v/>
      </c>
      <c r="AA12" s="9"/>
      <c r="AB12" s="9" t="str">
        <f t="shared" si="1"/>
        <v/>
      </c>
      <c r="AC12" s="9"/>
      <c r="AD12" s="9" t="str">
        <f t="shared" si="1"/>
        <v/>
      </c>
    </row>
    <row r="13" spans="1:30" x14ac:dyDescent="0.25">
      <c r="B13" s="9">
        <v>0.84</v>
      </c>
      <c r="C13" s="9" t="str">
        <f t="shared" si="0"/>
        <v/>
      </c>
      <c r="D13" s="9"/>
      <c r="E13" s="9">
        <v>0.56899999999999995</v>
      </c>
      <c r="F13" s="9" t="str">
        <f t="shared" si="0"/>
        <v/>
      </c>
      <c r="G13" s="9">
        <v>0.99</v>
      </c>
      <c r="H13" s="9" t="str">
        <f t="shared" si="0"/>
        <v/>
      </c>
      <c r="I13" s="9">
        <v>0.54500000000000004</v>
      </c>
      <c r="J13" s="9" t="str">
        <f t="shared" si="0"/>
        <v/>
      </c>
      <c r="K13" s="9">
        <v>5.1999999999999998E-2</v>
      </c>
      <c r="L13" s="9" t="str">
        <f t="shared" si="0"/>
        <v/>
      </c>
      <c r="M13" s="9">
        <v>0.86799999999999999</v>
      </c>
      <c r="N13" s="9" t="str">
        <f t="shared" si="0"/>
        <v/>
      </c>
      <c r="O13" s="9">
        <v>4.0000000000000001E-3</v>
      </c>
      <c r="P13" s="9" t="str">
        <f t="shared" si="1"/>
        <v/>
      </c>
      <c r="Q13" s="9">
        <v>0</v>
      </c>
      <c r="R13" s="9" t="str">
        <f t="shared" si="1"/>
        <v/>
      </c>
      <c r="S13" s="9"/>
      <c r="T13" s="9" t="str">
        <f t="shared" si="1"/>
        <v/>
      </c>
      <c r="U13" s="9"/>
      <c r="V13" s="9" t="str">
        <f t="shared" si="1"/>
        <v/>
      </c>
      <c r="W13" s="9">
        <v>0.65700000000000003</v>
      </c>
      <c r="X13" s="9" t="str">
        <f t="shared" si="1"/>
        <v/>
      </c>
      <c r="Y13" s="9">
        <v>0.39</v>
      </c>
      <c r="Z13" s="9" t="str">
        <f t="shared" si="1"/>
        <v/>
      </c>
      <c r="AA13" s="9"/>
      <c r="AB13" s="9" t="str">
        <f t="shared" si="1"/>
        <v/>
      </c>
      <c r="AC13" s="9"/>
      <c r="AD13" s="9" t="str">
        <f t="shared" si="1"/>
        <v/>
      </c>
    </row>
    <row r="14" spans="1:30" x14ac:dyDescent="0.25">
      <c r="A14" t="s">
        <v>33</v>
      </c>
      <c r="B14" s="9">
        <v>5.0000000000000001E-4</v>
      </c>
      <c r="C14" s="9" t="str">
        <f t="shared" si="0"/>
        <v>**</v>
      </c>
      <c r="D14" s="9" t="str">
        <f>+CONCATENATE(ROUND(B14,3), " ",C14)</f>
        <v>0,001 **</v>
      </c>
      <c r="E14" s="9">
        <v>2.0000000000000001E-4</v>
      </c>
      <c r="F14" s="9" t="str">
        <f t="shared" si="0"/>
        <v/>
      </c>
      <c r="G14" s="9"/>
      <c r="H14" s="9" t="str">
        <f t="shared" si="0"/>
        <v>***</v>
      </c>
      <c r="I14" s="9"/>
      <c r="J14" s="9" t="str">
        <f t="shared" si="0"/>
        <v>***</v>
      </c>
      <c r="K14" s="9">
        <v>5.9999999999999995E-4</v>
      </c>
      <c r="L14" s="9" t="str">
        <f t="shared" si="0"/>
        <v/>
      </c>
      <c r="M14" s="9">
        <v>-2.0089999999999999E-5</v>
      </c>
      <c r="N14" s="9" t="str">
        <f t="shared" ref="N14:X58" si="2">+IF($A14&lt;&gt;"",IF(M16&lt;0.01,"***",IF(M16&lt;0.05,"**",IF(M16&lt;0.1,"*",""))),"")</f>
        <v/>
      </c>
      <c r="O14" s="9"/>
      <c r="P14" s="9" t="str">
        <f t="shared" si="2"/>
        <v>***</v>
      </c>
      <c r="Q14" s="9"/>
      <c r="R14" s="9" t="str">
        <f t="shared" si="2"/>
        <v>***</v>
      </c>
      <c r="S14" s="9">
        <v>1.5E-3</v>
      </c>
      <c r="T14" s="9" t="str">
        <f t="shared" si="2"/>
        <v>**</v>
      </c>
      <c r="U14" s="9">
        <v>6.9999999999999999E-4</v>
      </c>
      <c r="V14" s="9" t="str">
        <f t="shared" si="2"/>
        <v/>
      </c>
      <c r="W14" s="9">
        <v>5.9999999999999995E-4</v>
      </c>
      <c r="X14" s="9" t="str">
        <f t="shared" si="2"/>
        <v>**</v>
      </c>
      <c r="Y14" s="9">
        <v>2.0000000000000001E-4</v>
      </c>
      <c r="Z14" s="9" t="str">
        <f t="shared" si="1"/>
        <v/>
      </c>
      <c r="AA14" s="9">
        <v>5.9999999999999995E-4</v>
      </c>
      <c r="AB14" s="9" t="str">
        <f t="shared" si="1"/>
        <v/>
      </c>
      <c r="AC14" s="9">
        <v>-4.3930000000000001E-5</v>
      </c>
      <c r="AD14" s="9" t="str">
        <f t="shared" si="1"/>
        <v/>
      </c>
    </row>
    <row r="15" spans="1:30" x14ac:dyDescent="0.25">
      <c r="B15" s="9">
        <v>0</v>
      </c>
      <c r="C15" s="9" t="str">
        <f t="shared" si="0"/>
        <v/>
      </c>
      <c r="D15" s="9" t="str">
        <f>+CONCATENATE("(",ROUND(B15,3),")")</f>
        <v>(0)</v>
      </c>
      <c r="E15" s="9">
        <v>0</v>
      </c>
      <c r="F15" s="9" t="str">
        <f t="shared" si="0"/>
        <v/>
      </c>
      <c r="G15" s="9"/>
      <c r="H15" s="9" t="str">
        <f t="shared" si="0"/>
        <v/>
      </c>
      <c r="I15" s="9"/>
      <c r="J15" s="9" t="str">
        <f t="shared" si="0"/>
        <v/>
      </c>
      <c r="K15" s="9">
        <v>0</v>
      </c>
      <c r="L15" s="9" t="str">
        <f t="shared" si="0"/>
        <v/>
      </c>
      <c r="M15" s="9">
        <v>0</v>
      </c>
      <c r="N15" s="9" t="str">
        <f t="shared" si="2"/>
        <v/>
      </c>
      <c r="O15" s="9"/>
      <c r="P15" s="9" t="str">
        <f t="shared" si="2"/>
        <v/>
      </c>
      <c r="Q15" s="9"/>
      <c r="R15" s="9" t="str">
        <f t="shared" si="2"/>
        <v/>
      </c>
      <c r="S15" s="9">
        <v>1E-3</v>
      </c>
      <c r="T15" s="9" t="str">
        <f t="shared" si="2"/>
        <v/>
      </c>
      <c r="U15" s="9">
        <v>1E-3</v>
      </c>
      <c r="V15" s="9" t="str">
        <f t="shared" si="2"/>
        <v/>
      </c>
      <c r="W15" s="9">
        <v>0</v>
      </c>
      <c r="X15" s="9" t="str">
        <f t="shared" si="2"/>
        <v/>
      </c>
      <c r="Y15" s="9">
        <v>0</v>
      </c>
      <c r="Z15" s="9" t="str">
        <f t="shared" si="1"/>
        <v/>
      </c>
      <c r="AA15" s="9">
        <v>0</v>
      </c>
      <c r="AB15" s="9" t="str">
        <f t="shared" si="1"/>
        <v/>
      </c>
      <c r="AC15" s="9">
        <v>0</v>
      </c>
      <c r="AD15" s="9" t="str">
        <f t="shared" si="1"/>
        <v/>
      </c>
    </row>
    <row r="16" spans="1:30" x14ac:dyDescent="0.25">
      <c r="B16" s="9">
        <v>3.9E-2</v>
      </c>
      <c r="C16" s="9" t="str">
        <f t="shared" si="0"/>
        <v/>
      </c>
      <c r="D16" s="9"/>
      <c r="E16" s="9">
        <v>0.38</v>
      </c>
      <c r="F16" s="9" t="str">
        <f t="shared" si="0"/>
        <v/>
      </c>
      <c r="G16" s="9"/>
      <c r="H16" s="9" t="str">
        <f t="shared" si="0"/>
        <v/>
      </c>
      <c r="I16" s="9"/>
      <c r="J16" s="9" t="str">
        <f t="shared" si="0"/>
        <v/>
      </c>
      <c r="K16" s="9">
        <v>0.1</v>
      </c>
      <c r="L16" s="9" t="str">
        <f t="shared" si="0"/>
        <v/>
      </c>
      <c r="M16" s="9">
        <v>0.95299999999999996</v>
      </c>
      <c r="N16" s="9" t="str">
        <f t="shared" si="2"/>
        <v/>
      </c>
      <c r="O16" s="9"/>
      <c r="P16" s="9" t="str">
        <f t="shared" si="2"/>
        <v/>
      </c>
      <c r="Q16" s="9"/>
      <c r="R16" s="9" t="str">
        <f t="shared" si="2"/>
        <v/>
      </c>
      <c r="S16" s="9">
        <v>4.2999999999999997E-2</v>
      </c>
      <c r="T16" s="9" t="str">
        <f t="shared" si="2"/>
        <v/>
      </c>
      <c r="U16" s="9">
        <v>0.24399999999999999</v>
      </c>
      <c r="V16" s="9" t="str">
        <f t="shared" si="2"/>
        <v/>
      </c>
      <c r="W16" s="9">
        <v>2.5000000000000001E-2</v>
      </c>
      <c r="X16" s="9" t="str">
        <f t="shared" si="2"/>
        <v/>
      </c>
      <c r="Y16" s="9">
        <v>0.42</v>
      </c>
      <c r="Z16" s="9" t="str">
        <f t="shared" si="1"/>
        <v/>
      </c>
      <c r="AA16" s="9">
        <v>0.1</v>
      </c>
      <c r="AB16" s="9" t="str">
        <f t="shared" si="1"/>
        <v/>
      </c>
      <c r="AC16" s="9">
        <v>0.89900000000000002</v>
      </c>
      <c r="AD16" s="9" t="str">
        <f t="shared" si="1"/>
        <v/>
      </c>
    </row>
    <row r="17" spans="1:30" x14ac:dyDescent="0.25">
      <c r="A17" t="s">
        <v>34</v>
      </c>
      <c r="B17" s="9">
        <v>-8.9999999999999998E-4</v>
      </c>
      <c r="C17" s="9" t="str">
        <f t="shared" si="0"/>
        <v/>
      </c>
      <c r="D17" s="9" t="str">
        <f>+CONCATENATE(ROUND(B17,3), " ",C17)</f>
        <v xml:space="preserve">-0,001 </v>
      </c>
      <c r="E17" s="9">
        <v>-1.8E-3</v>
      </c>
      <c r="F17" s="9" t="str">
        <f t="shared" si="0"/>
        <v>**</v>
      </c>
      <c r="G17" s="9">
        <v>-3.5000000000000001E-3</v>
      </c>
      <c r="H17" s="9" t="str">
        <f t="shared" si="0"/>
        <v>***</v>
      </c>
      <c r="I17" s="9">
        <v>-3.8E-3</v>
      </c>
      <c r="J17" s="9" t="str">
        <f t="shared" si="0"/>
        <v>***</v>
      </c>
      <c r="K17" s="9"/>
      <c r="L17" s="9" t="str">
        <f t="shared" si="0"/>
        <v>***</v>
      </c>
      <c r="M17" s="9"/>
      <c r="N17" s="9" t="str">
        <f t="shared" si="2"/>
        <v>***</v>
      </c>
      <c r="O17" s="9">
        <v>2.9999999999999997E-4</v>
      </c>
      <c r="P17" s="9" t="str">
        <f t="shared" si="2"/>
        <v/>
      </c>
      <c r="Q17" s="9">
        <v>-4.1000000000000003E-3</v>
      </c>
      <c r="R17" s="9" t="str">
        <f t="shared" si="2"/>
        <v>**</v>
      </c>
      <c r="S17" s="9">
        <v>3.5000000000000001E-3</v>
      </c>
      <c r="T17" s="9" t="str">
        <f t="shared" si="2"/>
        <v>*</v>
      </c>
      <c r="U17" s="9">
        <v>-2.3E-3</v>
      </c>
      <c r="V17" s="9" t="str">
        <f t="shared" si="2"/>
        <v/>
      </c>
      <c r="W17" s="9">
        <v>-1.8E-3</v>
      </c>
      <c r="X17" s="9" t="str">
        <f t="shared" si="2"/>
        <v>***</v>
      </c>
      <c r="Y17" s="9">
        <v>-2.2000000000000001E-3</v>
      </c>
      <c r="Z17" s="9" t="str">
        <f t="shared" si="1"/>
        <v>***</v>
      </c>
      <c r="AA17" s="9"/>
      <c r="AB17" s="9" t="str">
        <f t="shared" si="1"/>
        <v>***</v>
      </c>
      <c r="AC17" s="9"/>
      <c r="AD17" s="9" t="str">
        <f t="shared" si="1"/>
        <v>***</v>
      </c>
    </row>
    <row r="18" spans="1:30" x14ac:dyDescent="0.25">
      <c r="B18" s="9">
        <v>1E-3</v>
      </c>
      <c r="C18" s="9" t="str">
        <f t="shared" si="0"/>
        <v/>
      </c>
      <c r="D18" s="9" t="str">
        <f>+CONCATENATE("(",ROUND(B18,3),")")</f>
        <v>(0,001)</v>
      </c>
      <c r="E18" s="9">
        <v>1E-3</v>
      </c>
      <c r="F18" s="9" t="str">
        <f t="shared" si="0"/>
        <v/>
      </c>
      <c r="G18" s="9">
        <v>1E-3</v>
      </c>
      <c r="H18" s="9" t="str">
        <f t="shared" si="0"/>
        <v/>
      </c>
      <c r="I18" s="9">
        <v>1E-3</v>
      </c>
      <c r="J18" s="9" t="str">
        <f t="shared" si="0"/>
        <v/>
      </c>
      <c r="K18" s="9"/>
      <c r="L18" s="9" t="str">
        <f t="shared" si="0"/>
        <v/>
      </c>
      <c r="M18" s="9"/>
      <c r="N18" s="9" t="str">
        <f t="shared" si="2"/>
        <v/>
      </c>
      <c r="O18" s="9">
        <v>2E-3</v>
      </c>
      <c r="P18" s="9" t="str">
        <f t="shared" si="2"/>
        <v/>
      </c>
      <c r="Q18" s="9">
        <v>2E-3</v>
      </c>
      <c r="R18" s="9" t="str">
        <f t="shared" si="2"/>
        <v/>
      </c>
      <c r="S18" s="9">
        <v>2E-3</v>
      </c>
      <c r="T18" s="9" t="str">
        <f t="shared" si="2"/>
        <v/>
      </c>
      <c r="U18" s="9">
        <v>2E-3</v>
      </c>
      <c r="V18" s="9" t="str">
        <f t="shared" si="2"/>
        <v/>
      </c>
      <c r="W18" s="9">
        <v>1E-3</v>
      </c>
      <c r="X18" s="9" t="str">
        <f t="shared" si="2"/>
        <v/>
      </c>
      <c r="Y18" s="9">
        <v>1E-3</v>
      </c>
      <c r="Z18" s="9" t="str">
        <f t="shared" si="1"/>
        <v/>
      </c>
      <c r="AA18" s="9"/>
      <c r="AB18" s="9" t="str">
        <f t="shared" si="1"/>
        <v/>
      </c>
      <c r="AC18" s="9"/>
      <c r="AD18" s="9" t="str">
        <f t="shared" si="1"/>
        <v/>
      </c>
    </row>
    <row r="19" spans="1:30" x14ac:dyDescent="0.25">
      <c r="B19" s="9">
        <v>0.192</v>
      </c>
      <c r="C19" s="9" t="str">
        <f t="shared" si="0"/>
        <v/>
      </c>
      <c r="D19" s="9"/>
      <c r="E19" s="9">
        <v>1.2999999999999999E-2</v>
      </c>
      <c r="F19" s="9" t="str">
        <f t="shared" si="0"/>
        <v/>
      </c>
      <c r="G19" s="9">
        <v>0</v>
      </c>
      <c r="H19" s="9" t="str">
        <f t="shared" si="0"/>
        <v/>
      </c>
      <c r="I19" s="9">
        <v>0</v>
      </c>
      <c r="J19" s="9" t="str">
        <f t="shared" si="0"/>
        <v/>
      </c>
      <c r="K19" s="9"/>
      <c r="L19" s="9" t="str">
        <f t="shared" si="0"/>
        <v/>
      </c>
      <c r="M19" s="9"/>
      <c r="N19" s="9" t="str">
        <f t="shared" si="2"/>
        <v/>
      </c>
      <c r="O19" s="9">
        <v>0.85599999999999998</v>
      </c>
      <c r="P19" s="9" t="str">
        <f t="shared" si="2"/>
        <v/>
      </c>
      <c r="Q19" s="9">
        <v>0.02</v>
      </c>
      <c r="R19" s="9" t="str">
        <f t="shared" si="2"/>
        <v/>
      </c>
      <c r="S19" s="9">
        <v>6.5000000000000002E-2</v>
      </c>
      <c r="T19" s="9" t="str">
        <f t="shared" si="2"/>
        <v/>
      </c>
      <c r="U19" s="9">
        <v>0.215</v>
      </c>
      <c r="V19" s="9" t="str">
        <f t="shared" si="2"/>
        <v/>
      </c>
      <c r="W19" s="9">
        <v>1E-3</v>
      </c>
      <c r="X19" s="9" t="str">
        <f t="shared" si="2"/>
        <v/>
      </c>
      <c r="Y19" s="9">
        <v>0</v>
      </c>
      <c r="Z19" s="9" t="str">
        <f t="shared" si="1"/>
        <v/>
      </c>
      <c r="AA19" s="9"/>
      <c r="AB19" s="9" t="str">
        <f t="shared" si="1"/>
        <v/>
      </c>
      <c r="AC19" s="9"/>
      <c r="AD19" s="9" t="str">
        <f t="shared" si="1"/>
        <v/>
      </c>
    </row>
    <row r="20" spans="1:30" x14ac:dyDescent="0.25">
      <c r="A20" t="s">
        <v>35</v>
      </c>
      <c r="B20" s="9">
        <v>-1.5E-3</v>
      </c>
      <c r="C20" s="9" t="str">
        <f t="shared" si="0"/>
        <v/>
      </c>
      <c r="D20" s="9" t="str">
        <f>+CONCATENATE(ROUND(B20,3), " ",C20)</f>
        <v xml:space="preserve">-0,002 </v>
      </c>
      <c r="E20" s="9">
        <v>-5.4800000000000001E-2</v>
      </c>
      <c r="F20" s="9" t="str">
        <f t="shared" si="0"/>
        <v/>
      </c>
      <c r="G20" s="9"/>
      <c r="H20" s="9" t="str">
        <f t="shared" si="0"/>
        <v>***</v>
      </c>
      <c r="I20" s="9"/>
      <c r="J20" s="9" t="str">
        <f t="shared" si="0"/>
        <v>***</v>
      </c>
      <c r="K20" s="9">
        <v>-6.0900000000000003E-2</v>
      </c>
      <c r="L20" s="9" t="str">
        <f t="shared" si="0"/>
        <v/>
      </c>
      <c r="M20" s="9">
        <v>-7.5700000000000003E-2</v>
      </c>
      <c r="N20" s="9" t="str">
        <f t="shared" si="2"/>
        <v/>
      </c>
      <c r="O20" s="9">
        <v>-2.7300000000000001E-2</v>
      </c>
      <c r="P20" s="9" t="str">
        <f t="shared" si="2"/>
        <v/>
      </c>
      <c r="Q20" s="9">
        <v>-0.1173</v>
      </c>
      <c r="R20" s="9" t="str">
        <f t="shared" si="2"/>
        <v/>
      </c>
      <c r="S20" s="9">
        <v>2.3E-2</v>
      </c>
      <c r="T20" s="9" t="str">
        <f t="shared" si="2"/>
        <v/>
      </c>
      <c r="U20" s="9">
        <v>-6.8599999999999994E-2</v>
      </c>
      <c r="V20" s="9" t="str">
        <f t="shared" si="2"/>
        <v/>
      </c>
      <c r="W20" s="9"/>
      <c r="X20" s="9" t="str">
        <f t="shared" si="2"/>
        <v>***</v>
      </c>
      <c r="Y20" s="9"/>
      <c r="Z20" s="9" t="str">
        <f t="shared" si="1"/>
        <v>***</v>
      </c>
      <c r="AA20" s="9">
        <v>-4.8899999999999999E-2</v>
      </c>
      <c r="AB20" s="9" t="str">
        <f t="shared" si="1"/>
        <v/>
      </c>
      <c r="AC20" s="9">
        <v>-5.8999999999999997E-2</v>
      </c>
      <c r="AD20" s="9" t="str">
        <f t="shared" si="1"/>
        <v/>
      </c>
    </row>
    <row r="21" spans="1:30" x14ac:dyDescent="0.25">
      <c r="B21" s="9">
        <v>4.2000000000000003E-2</v>
      </c>
      <c r="C21" s="9" t="str">
        <f t="shared" si="0"/>
        <v/>
      </c>
      <c r="D21" s="9" t="str">
        <f>+CONCATENATE("(",ROUND(B21,3),")")</f>
        <v>(0,042)</v>
      </c>
      <c r="E21" s="9">
        <v>3.9E-2</v>
      </c>
      <c r="F21" s="9" t="str">
        <f t="shared" si="0"/>
        <v/>
      </c>
      <c r="G21" s="9"/>
      <c r="H21" s="9" t="str">
        <f t="shared" si="0"/>
        <v/>
      </c>
      <c r="I21" s="9"/>
      <c r="J21" s="9" t="str">
        <f t="shared" si="0"/>
        <v/>
      </c>
      <c r="K21" s="9">
        <v>6.3E-2</v>
      </c>
      <c r="L21" s="9" t="str">
        <f t="shared" si="0"/>
        <v/>
      </c>
      <c r="M21" s="9">
        <v>5.8000000000000003E-2</v>
      </c>
      <c r="N21" s="9" t="str">
        <f t="shared" si="2"/>
        <v/>
      </c>
      <c r="O21" s="9">
        <v>0.127</v>
      </c>
      <c r="P21" s="9" t="str">
        <f t="shared" si="2"/>
        <v/>
      </c>
      <c r="Q21" s="9">
        <v>0.106</v>
      </c>
      <c r="R21" s="9" t="str">
        <f t="shared" si="2"/>
        <v/>
      </c>
      <c r="S21" s="9">
        <v>0.123</v>
      </c>
      <c r="T21" s="9" t="str">
        <f t="shared" si="2"/>
        <v/>
      </c>
      <c r="U21" s="9">
        <v>0.109</v>
      </c>
      <c r="V21" s="9" t="str">
        <f t="shared" si="2"/>
        <v/>
      </c>
      <c r="W21" s="9"/>
      <c r="X21" s="9" t="str">
        <f t="shared" si="2"/>
        <v/>
      </c>
      <c r="Y21" s="9"/>
      <c r="Z21" s="9" t="str">
        <f t="shared" si="1"/>
        <v/>
      </c>
      <c r="AA21" s="9">
        <v>6.3E-2</v>
      </c>
      <c r="AB21" s="9" t="str">
        <f t="shared" si="1"/>
        <v/>
      </c>
      <c r="AC21" s="9">
        <v>5.8000000000000003E-2</v>
      </c>
      <c r="AD21" s="9" t="str">
        <f t="shared" si="1"/>
        <v/>
      </c>
    </row>
    <row r="22" spans="1:30" x14ac:dyDescent="0.25">
      <c r="B22" s="9">
        <v>0.97099999999999997</v>
      </c>
      <c r="C22" s="9" t="str">
        <f t="shared" si="0"/>
        <v/>
      </c>
      <c r="D22" s="9"/>
      <c r="E22" s="9">
        <v>0.16200000000000001</v>
      </c>
      <c r="F22" s="9" t="str">
        <f t="shared" si="0"/>
        <v/>
      </c>
      <c r="G22" s="9"/>
      <c r="H22" s="9" t="str">
        <f t="shared" si="0"/>
        <v/>
      </c>
      <c r="I22" s="9"/>
      <c r="J22" s="9" t="str">
        <f t="shared" si="0"/>
        <v/>
      </c>
      <c r="K22" s="9">
        <v>0.33200000000000002</v>
      </c>
      <c r="L22" s="9" t="str">
        <f t="shared" si="0"/>
        <v/>
      </c>
      <c r="M22" s="9">
        <v>0.191</v>
      </c>
      <c r="N22" s="9" t="str">
        <f t="shared" si="2"/>
        <v/>
      </c>
      <c r="O22" s="9">
        <v>0.82899999999999996</v>
      </c>
      <c r="P22" s="9" t="str">
        <f t="shared" si="2"/>
        <v/>
      </c>
      <c r="Q22" s="9">
        <v>0.27100000000000002</v>
      </c>
      <c r="R22" s="9" t="str">
        <f t="shared" si="2"/>
        <v/>
      </c>
      <c r="S22" s="9">
        <v>0.85199999999999998</v>
      </c>
      <c r="T22" s="9" t="str">
        <f t="shared" si="2"/>
        <v/>
      </c>
      <c r="U22" s="9">
        <v>0.52800000000000002</v>
      </c>
      <c r="V22" s="9" t="str">
        <f t="shared" si="2"/>
        <v/>
      </c>
      <c r="W22" s="9"/>
      <c r="X22" s="9" t="str">
        <f t="shared" si="2"/>
        <v/>
      </c>
      <c r="Y22" s="9"/>
      <c r="Z22" s="9" t="str">
        <f t="shared" si="1"/>
        <v/>
      </c>
      <c r="AA22" s="9">
        <v>0.435</v>
      </c>
      <c r="AB22" s="9" t="str">
        <f t="shared" si="1"/>
        <v/>
      </c>
      <c r="AC22" s="9">
        <v>0.309</v>
      </c>
      <c r="AD22" s="9" t="str">
        <f t="shared" si="1"/>
        <v/>
      </c>
    </row>
    <row r="23" spans="1:30" x14ac:dyDescent="0.25">
      <c r="A23" t="s">
        <v>36</v>
      </c>
      <c r="B23" s="9">
        <v>-5.5820000000000001E-6</v>
      </c>
      <c r="C23" s="9" t="str">
        <f t="shared" si="0"/>
        <v/>
      </c>
      <c r="D23" s="9" t="str">
        <f>+CONCATENATE(ROUND(B23,3), " ",C23)</f>
        <v xml:space="preserve">0 </v>
      </c>
      <c r="E23" s="9">
        <v>-1.6920000000000001E-5</v>
      </c>
      <c r="F23" s="9" t="str">
        <f t="shared" si="0"/>
        <v/>
      </c>
      <c r="G23" s="9"/>
      <c r="H23" s="9" t="str">
        <f t="shared" si="0"/>
        <v>***</v>
      </c>
      <c r="I23" s="9"/>
      <c r="J23" s="9" t="str">
        <f t="shared" si="0"/>
        <v>***</v>
      </c>
      <c r="K23" s="9"/>
      <c r="L23" s="9" t="str">
        <f t="shared" si="0"/>
        <v>***</v>
      </c>
      <c r="M23" s="9"/>
      <c r="N23" s="9" t="str">
        <f t="shared" si="2"/>
        <v>***</v>
      </c>
      <c r="O23" s="9"/>
      <c r="P23" s="9" t="str">
        <f t="shared" si="2"/>
        <v>***</v>
      </c>
      <c r="Q23" s="9"/>
      <c r="R23" s="9" t="str">
        <f t="shared" si="2"/>
        <v>***</v>
      </c>
      <c r="S23" s="9"/>
      <c r="T23" s="9" t="str">
        <f t="shared" si="2"/>
        <v>***</v>
      </c>
      <c r="U23" s="9"/>
      <c r="V23" s="9" t="str">
        <f t="shared" si="2"/>
        <v>***</v>
      </c>
      <c r="W23" s="9"/>
      <c r="X23" s="9" t="str">
        <f t="shared" si="2"/>
        <v>***</v>
      </c>
      <c r="Y23" s="9"/>
      <c r="Z23" s="9" t="str">
        <f t="shared" si="1"/>
        <v>***</v>
      </c>
      <c r="AA23" s="9">
        <v>-4.9799999999999998E-5</v>
      </c>
      <c r="AB23" s="9" t="str">
        <f t="shared" si="1"/>
        <v/>
      </c>
      <c r="AC23" s="9">
        <v>-2.3459999999999999E-5</v>
      </c>
      <c r="AD23" s="9" t="str">
        <f t="shared" si="1"/>
        <v/>
      </c>
    </row>
    <row r="24" spans="1:30" x14ac:dyDescent="0.25">
      <c r="B24" s="9">
        <v>2.1699999999999999E-5</v>
      </c>
      <c r="C24" s="9" t="str">
        <f t="shared" si="0"/>
        <v/>
      </c>
      <c r="D24" s="9" t="str">
        <f>+CONCATENATE("(",ROUND(B24,3),")")</f>
        <v>(0)</v>
      </c>
      <c r="E24" s="9">
        <v>2.0800000000000001E-5</v>
      </c>
      <c r="F24" s="9" t="str">
        <f t="shared" si="0"/>
        <v/>
      </c>
      <c r="G24" s="9"/>
      <c r="H24" s="9" t="str">
        <f t="shared" si="0"/>
        <v/>
      </c>
      <c r="I24" s="9"/>
      <c r="J24" s="9" t="str">
        <f t="shared" si="0"/>
        <v/>
      </c>
      <c r="K24" s="9"/>
      <c r="L24" s="9" t="str">
        <f t="shared" si="0"/>
        <v/>
      </c>
      <c r="M24" s="9"/>
      <c r="N24" s="9" t="str">
        <f t="shared" si="2"/>
        <v/>
      </c>
      <c r="O24" s="9"/>
      <c r="P24" s="9" t="str">
        <f t="shared" si="2"/>
        <v/>
      </c>
      <c r="Q24" s="9"/>
      <c r="R24" s="9" t="str">
        <f t="shared" si="2"/>
        <v/>
      </c>
      <c r="S24" s="9"/>
      <c r="T24" s="9" t="str">
        <f t="shared" si="2"/>
        <v/>
      </c>
      <c r="U24" s="9"/>
      <c r="V24" s="9" t="str">
        <f t="shared" si="2"/>
        <v/>
      </c>
      <c r="W24" s="9"/>
      <c r="X24" s="9" t="str">
        <f t="shared" si="2"/>
        <v/>
      </c>
      <c r="Y24" s="9"/>
      <c r="Z24" s="9" t="str">
        <f t="shared" si="1"/>
        <v/>
      </c>
      <c r="AA24" s="9">
        <v>3.2700000000000002E-5</v>
      </c>
      <c r="AB24" s="9" t="str">
        <f t="shared" si="1"/>
        <v/>
      </c>
      <c r="AC24" s="9">
        <v>3.0899999999999999E-5</v>
      </c>
      <c r="AD24" s="9" t="str">
        <f t="shared" si="1"/>
        <v/>
      </c>
    </row>
    <row r="25" spans="1:30" x14ac:dyDescent="0.25">
      <c r="B25" s="9">
        <v>0.79700000000000004</v>
      </c>
      <c r="C25" s="9" t="str">
        <f t="shared" si="0"/>
        <v/>
      </c>
      <c r="D25" s="9"/>
      <c r="E25" s="9">
        <v>0.41499999999999998</v>
      </c>
      <c r="F25" s="9" t="str">
        <f t="shared" si="0"/>
        <v/>
      </c>
      <c r="G25" s="9"/>
      <c r="H25" s="9" t="str">
        <f t="shared" si="0"/>
        <v/>
      </c>
      <c r="I25" s="9"/>
      <c r="J25" s="9" t="str">
        <f t="shared" si="0"/>
        <v/>
      </c>
      <c r="K25" s="9"/>
      <c r="L25" s="9" t="str">
        <f t="shared" si="0"/>
        <v/>
      </c>
      <c r="M25" s="9"/>
      <c r="N25" s="9" t="str">
        <f t="shared" si="2"/>
        <v/>
      </c>
      <c r="O25" s="9"/>
      <c r="P25" s="9" t="str">
        <f t="shared" si="2"/>
        <v/>
      </c>
      <c r="Q25" s="9"/>
      <c r="R25" s="9" t="str">
        <f t="shared" si="2"/>
        <v/>
      </c>
      <c r="S25" s="9"/>
      <c r="T25" s="9" t="str">
        <f t="shared" si="2"/>
        <v/>
      </c>
      <c r="U25" s="9"/>
      <c r="V25" s="9" t="str">
        <f t="shared" si="2"/>
        <v/>
      </c>
      <c r="W25" s="9"/>
      <c r="X25" s="9" t="str">
        <f t="shared" si="2"/>
        <v/>
      </c>
      <c r="Y25" s="9"/>
      <c r="Z25" s="9" t="str">
        <f t="shared" si="1"/>
        <v/>
      </c>
      <c r="AA25" s="9">
        <v>0.129</v>
      </c>
      <c r="AB25" s="9" t="str">
        <f t="shared" si="1"/>
        <v/>
      </c>
      <c r="AC25" s="9">
        <v>0.44800000000000001</v>
      </c>
      <c r="AD25" s="9" t="str">
        <f t="shared" si="1"/>
        <v/>
      </c>
    </row>
    <row r="26" spans="1:30" x14ac:dyDescent="0.25">
      <c r="A26" t="s">
        <v>37</v>
      </c>
      <c r="B26" s="9">
        <v>4.2769999999999999E-8</v>
      </c>
      <c r="C26" s="9" t="str">
        <f t="shared" si="0"/>
        <v/>
      </c>
      <c r="D26" s="9" t="str">
        <f>+CONCATENATE(ROUND(B26,3), " ",C26)</f>
        <v xml:space="preserve">0 </v>
      </c>
      <c r="E26" s="9">
        <v>3.955E-8</v>
      </c>
      <c r="F26" s="9" t="str">
        <f t="shared" si="0"/>
        <v/>
      </c>
      <c r="G26" s="9">
        <v>1.3309999999999999E-7</v>
      </c>
      <c r="H26" s="9" t="str">
        <f t="shared" si="0"/>
        <v>***</v>
      </c>
      <c r="I26" s="9">
        <v>1.543E-7</v>
      </c>
      <c r="J26" s="9" t="str">
        <f t="shared" si="0"/>
        <v>***</v>
      </c>
      <c r="K26" s="9"/>
      <c r="L26" s="9" t="str">
        <f t="shared" si="0"/>
        <v>***</v>
      </c>
      <c r="M26" s="9"/>
      <c r="N26" s="9" t="str">
        <f t="shared" si="2"/>
        <v>***</v>
      </c>
      <c r="O26" s="9"/>
      <c r="P26" s="9" t="str">
        <f t="shared" si="2"/>
        <v>***</v>
      </c>
      <c r="Q26" s="9"/>
      <c r="R26" s="9" t="str">
        <f t="shared" si="2"/>
        <v>***</v>
      </c>
      <c r="S26" s="9">
        <v>-4.777E-7</v>
      </c>
      <c r="T26" s="9" t="str">
        <f t="shared" si="2"/>
        <v>***</v>
      </c>
      <c r="U26" s="9">
        <v>-3.5600000000000001E-7</v>
      </c>
      <c r="V26" s="9" t="str">
        <f t="shared" si="2"/>
        <v>***</v>
      </c>
      <c r="W26" s="9"/>
      <c r="X26" s="9" t="str">
        <f t="shared" si="2"/>
        <v>***</v>
      </c>
      <c r="Y26" s="9"/>
      <c r="Z26" s="9" t="str">
        <f t="shared" si="1"/>
        <v>***</v>
      </c>
      <c r="AA26" s="9"/>
      <c r="AB26" s="9" t="str">
        <f t="shared" si="1"/>
        <v>***</v>
      </c>
      <c r="AC26" s="9"/>
      <c r="AD26" s="9" t="str">
        <f t="shared" si="1"/>
        <v>***</v>
      </c>
    </row>
    <row r="27" spans="1:30" x14ac:dyDescent="0.25">
      <c r="B27" s="9">
        <v>3.5399999999999999E-8</v>
      </c>
      <c r="C27" s="9" t="str">
        <f t="shared" si="0"/>
        <v/>
      </c>
      <c r="D27" s="9" t="str">
        <f>+CONCATENATE("(",ROUND(B27,3),")")</f>
        <v>(0)</v>
      </c>
      <c r="E27" s="9">
        <v>3.2999999999999998E-8</v>
      </c>
      <c r="F27" s="9" t="str">
        <f t="shared" si="0"/>
        <v/>
      </c>
      <c r="G27" s="9">
        <v>4.9100000000000003E-8</v>
      </c>
      <c r="H27" s="9" t="str">
        <f t="shared" si="0"/>
        <v/>
      </c>
      <c r="I27" s="9">
        <v>4.6000000000000002E-8</v>
      </c>
      <c r="J27" s="9" t="str">
        <f t="shared" si="0"/>
        <v/>
      </c>
      <c r="K27" s="9"/>
      <c r="L27" s="9" t="str">
        <f t="shared" si="0"/>
        <v/>
      </c>
      <c r="M27" s="9"/>
      <c r="N27" s="9" t="str">
        <f t="shared" si="2"/>
        <v/>
      </c>
      <c r="O27" s="9"/>
      <c r="P27" s="9" t="str">
        <f t="shared" si="2"/>
        <v/>
      </c>
      <c r="Q27" s="9"/>
      <c r="R27" s="9" t="str">
        <f t="shared" si="2"/>
        <v/>
      </c>
      <c r="S27" s="9">
        <v>9.9900000000000001E-8</v>
      </c>
      <c r="T27" s="9" t="str">
        <f t="shared" si="2"/>
        <v/>
      </c>
      <c r="U27" s="9">
        <v>8.8199999999999996E-8</v>
      </c>
      <c r="V27" s="9" t="str">
        <f t="shared" si="2"/>
        <v/>
      </c>
      <c r="W27" s="9"/>
      <c r="X27" s="9" t="str">
        <f t="shared" si="2"/>
        <v/>
      </c>
      <c r="Y27" s="9"/>
      <c r="Z27" s="9" t="str">
        <f t="shared" si="1"/>
        <v/>
      </c>
      <c r="AA27" s="9"/>
      <c r="AB27" s="9" t="str">
        <f t="shared" si="1"/>
        <v/>
      </c>
      <c r="AC27" s="9"/>
      <c r="AD27" s="9" t="str">
        <f t="shared" si="1"/>
        <v/>
      </c>
    </row>
    <row r="28" spans="1:30" x14ac:dyDescent="0.25">
      <c r="B28" s="9">
        <v>0.22800000000000001</v>
      </c>
      <c r="C28" s="9" t="str">
        <f t="shared" si="0"/>
        <v/>
      </c>
      <c r="D28" s="9"/>
      <c r="E28" s="9">
        <v>0.23100000000000001</v>
      </c>
      <c r="F28" s="9" t="str">
        <f t="shared" si="0"/>
        <v/>
      </c>
      <c r="G28" s="9">
        <v>7.0000000000000001E-3</v>
      </c>
      <c r="H28" s="9" t="str">
        <f t="shared" si="0"/>
        <v/>
      </c>
      <c r="I28" s="9">
        <v>1E-3</v>
      </c>
      <c r="J28" s="9" t="str">
        <f t="shared" si="0"/>
        <v/>
      </c>
      <c r="K28" s="9"/>
      <c r="L28" s="9" t="str">
        <f t="shared" si="0"/>
        <v/>
      </c>
      <c r="M28" s="9"/>
      <c r="N28" s="9" t="str">
        <f t="shared" si="2"/>
        <v/>
      </c>
      <c r="O28" s="9"/>
      <c r="P28" s="9" t="str">
        <f t="shared" si="2"/>
        <v/>
      </c>
      <c r="Q28" s="9"/>
      <c r="R28" s="9" t="str">
        <f t="shared" si="2"/>
        <v/>
      </c>
      <c r="S28" s="9">
        <v>0</v>
      </c>
      <c r="T28" s="9" t="str">
        <f t="shared" si="2"/>
        <v/>
      </c>
      <c r="U28" s="9">
        <v>0</v>
      </c>
      <c r="V28" s="9" t="str">
        <f t="shared" si="2"/>
        <v/>
      </c>
      <c r="W28" s="9"/>
      <c r="X28" s="9" t="str">
        <f t="shared" si="2"/>
        <v/>
      </c>
      <c r="Y28" s="9"/>
      <c r="Z28" s="9" t="str">
        <f t="shared" si="1"/>
        <v/>
      </c>
      <c r="AA28" s="9"/>
      <c r="AB28" s="9" t="str">
        <f t="shared" si="1"/>
        <v/>
      </c>
      <c r="AC28" s="9"/>
      <c r="AD28" s="9" t="str">
        <f t="shared" si="1"/>
        <v/>
      </c>
    </row>
    <row r="29" spans="1:30" x14ac:dyDescent="0.25">
      <c r="A29" t="s">
        <v>38</v>
      </c>
      <c r="B29" s="9">
        <v>0.92700000000000005</v>
      </c>
      <c r="C29" s="9" t="str">
        <f t="shared" si="0"/>
        <v>***</v>
      </c>
      <c r="D29" s="9" t="str">
        <f>+CONCATENATE(ROUND(B29,3), " ",C29)</f>
        <v>0,927 ***</v>
      </c>
      <c r="E29" s="9">
        <v>0.87370000000000003</v>
      </c>
      <c r="F29" s="9" t="str">
        <f t="shared" si="0"/>
        <v>***</v>
      </c>
      <c r="G29" s="9"/>
      <c r="H29" s="9" t="str">
        <f t="shared" si="0"/>
        <v>***</v>
      </c>
      <c r="I29" s="9"/>
      <c r="J29" s="9" t="str">
        <f t="shared" si="0"/>
        <v>***</v>
      </c>
      <c r="K29" s="9"/>
      <c r="L29" s="9" t="str">
        <f t="shared" si="0"/>
        <v>***</v>
      </c>
      <c r="M29" s="9"/>
      <c r="N29" s="9" t="str">
        <f t="shared" si="2"/>
        <v>***</v>
      </c>
      <c r="O29" s="9">
        <v>0.84299999999999997</v>
      </c>
      <c r="P29" s="9" t="str">
        <f t="shared" si="2"/>
        <v>***</v>
      </c>
      <c r="Q29" s="9">
        <v>0.62229999999999996</v>
      </c>
      <c r="R29" s="9" t="str">
        <f t="shared" si="2"/>
        <v>***</v>
      </c>
      <c r="S29" s="9">
        <v>1.157</v>
      </c>
      <c r="T29" s="9" t="str">
        <f t="shared" si="2"/>
        <v>***</v>
      </c>
      <c r="U29" s="9">
        <v>1.2124999999999999</v>
      </c>
      <c r="V29" s="9" t="str">
        <f t="shared" si="2"/>
        <v>***</v>
      </c>
      <c r="W29" s="9">
        <v>0.89810000000000001</v>
      </c>
      <c r="X29" s="9" t="str">
        <f t="shared" si="2"/>
        <v>***</v>
      </c>
      <c r="Y29" s="9">
        <v>0.85929999999999995</v>
      </c>
      <c r="Z29" s="9" t="str">
        <f t="shared" si="1"/>
        <v>***</v>
      </c>
      <c r="AA29" s="9"/>
      <c r="AB29" s="9" t="str">
        <f t="shared" si="1"/>
        <v>***</v>
      </c>
      <c r="AC29" s="9"/>
      <c r="AD29" s="9" t="str">
        <f t="shared" si="1"/>
        <v>***</v>
      </c>
    </row>
    <row r="30" spans="1:30" x14ac:dyDescent="0.25">
      <c r="B30" s="9">
        <v>5.3999999999999999E-2</v>
      </c>
      <c r="C30" s="9" t="str">
        <f t="shared" si="0"/>
        <v/>
      </c>
      <c r="D30" s="9" t="str">
        <f>+CONCATENATE("(",ROUND(B30,3),")")</f>
        <v>(0,054)</v>
      </c>
      <c r="E30" s="9">
        <v>0.06</v>
      </c>
      <c r="F30" s="9" t="str">
        <f t="shared" si="0"/>
        <v/>
      </c>
      <c r="G30" s="9"/>
      <c r="H30" s="9" t="str">
        <f t="shared" si="0"/>
        <v/>
      </c>
      <c r="I30" s="9"/>
      <c r="J30" s="9" t="str">
        <f t="shared" si="0"/>
        <v/>
      </c>
      <c r="K30" s="9"/>
      <c r="L30" s="9" t="str">
        <f t="shared" si="0"/>
        <v/>
      </c>
      <c r="M30" s="9"/>
      <c r="N30" s="9" t="str">
        <f t="shared" si="2"/>
        <v/>
      </c>
      <c r="O30" s="9">
        <v>0.157</v>
      </c>
      <c r="P30" s="9" t="str">
        <f t="shared" si="2"/>
        <v/>
      </c>
      <c r="Q30" s="9">
        <v>0.16</v>
      </c>
      <c r="R30" s="9" t="str">
        <f t="shared" si="2"/>
        <v/>
      </c>
      <c r="S30" s="9">
        <v>4.2999999999999997E-2</v>
      </c>
      <c r="T30" s="9" t="str">
        <f t="shared" si="2"/>
        <v/>
      </c>
      <c r="U30" s="9">
        <v>0.05</v>
      </c>
      <c r="V30" s="9" t="str">
        <f t="shared" si="2"/>
        <v/>
      </c>
      <c r="W30" s="9">
        <v>5.5E-2</v>
      </c>
      <c r="X30" s="9" t="str">
        <f t="shared" si="2"/>
        <v/>
      </c>
      <c r="Y30" s="9">
        <v>6.0999999999999999E-2</v>
      </c>
      <c r="Z30" s="9" t="str">
        <f t="shared" si="1"/>
        <v/>
      </c>
      <c r="AA30" s="9"/>
      <c r="AB30" s="9" t="str">
        <f t="shared" si="1"/>
        <v/>
      </c>
      <c r="AC30" s="9"/>
      <c r="AD30" s="9" t="str">
        <f t="shared" si="1"/>
        <v/>
      </c>
    </row>
    <row r="31" spans="1:30" x14ac:dyDescent="0.25">
      <c r="B31" s="9">
        <v>0</v>
      </c>
      <c r="C31" s="9" t="str">
        <f t="shared" si="0"/>
        <v/>
      </c>
      <c r="D31" s="9"/>
      <c r="E31" s="9">
        <v>0</v>
      </c>
      <c r="F31" s="9" t="str">
        <f t="shared" si="0"/>
        <v/>
      </c>
      <c r="G31" s="9"/>
      <c r="H31" s="9" t="str">
        <f t="shared" si="0"/>
        <v/>
      </c>
      <c r="I31" s="9"/>
      <c r="J31" s="9" t="str">
        <f t="shared" si="0"/>
        <v/>
      </c>
      <c r="K31" s="9"/>
      <c r="L31" s="9" t="str">
        <f t="shared" si="0"/>
        <v/>
      </c>
      <c r="M31" s="9"/>
      <c r="N31" s="9" t="str">
        <f t="shared" si="2"/>
        <v/>
      </c>
      <c r="O31" s="9">
        <v>0</v>
      </c>
      <c r="P31" s="9" t="str">
        <f t="shared" si="2"/>
        <v/>
      </c>
      <c r="Q31" s="9">
        <v>0</v>
      </c>
      <c r="R31" s="9" t="str">
        <f t="shared" si="2"/>
        <v/>
      </c>
      <c r="S31" s="9">
        <v>0</v>
      </c>
      <c r="T31" s="9" t="str">
        <f t="shared" si="2"/>
        <v/>
      </c>
      <c r="U31" s="9">
        <v>0</v>
      </c>
      <c r="V31" s="9" t="str">
        <f t="shared" si="2"/>
        <v/>
      </c>
      <c r="W31" s="9">
        <v>0</v>
      </c>
      <c r="X31" s="9" t="str">
        <f t="shared" si="2"/>
        <v/>
      </c>
      <c r="Y31" s="9">
        <v>0</v>
      </c>
      <c r="Z31" s="9" t="str">
        <f t="shared" si="1"/>
        <v/>
      </c>
      <c r="AA31" s="9"/>
      <c r="AB31" s="9" t="str">
        <f t="shared" si="1"/>
        <v/>
      </c>
      <c r="AC31" s="9"/>
      <c r="AD31" s="9" t="str">
        <f t="shared" si="1"/>
        <v/>
      </c>
    </row>
    <row r="32" spans="1:30" x14ac:dyDescent="0.25">
      <c r="A32" t="s">
        <v>39</v>
      </c>
      <c r="B32" s="9">
        <v>4.7240000000000002E-5</v>
      </c>
      <c r="C32" s="9" t="str">
        <f t="shared" si="0"/>
        <v/>
      </c>
      <c r="D32" s="9" t="str">
        <f>+CONCATENATE(ROUND(B32,3), " ",C32)</f>
        <v xml:space="preserve">0 </v>
      </c>
      <c r="E32" s="9">
        <v>5.4079999999999997E-5</v>
      </c>
      <c r="F32" s="9" t="str">
        <f t="shared" si="0"/>
        <v/>
      </c>
      <c r="G32" s="9"/>
      <c r="H32" s="9" t="str">
        <f t="shared" si="0"/>
        <v>***</v>
      </c>
      <c r="I32" s="9"/>
      <c r="J32" s="9" t="str">
        <f t="shared" si="0"/>
        <v>***</v>
      </c>
      <c r="K32" s="9">
        <v>9.6719999999999996E-5</v>
      </c>
      <c r="L32" s="9" t="str">
        <f t="shared" si="0"/>
        <v/>
      </c>
      <c r="M32" s="9">
        <v>3.4659999999999997E-5</v>
      </c>
      <c r="N32" s="9" t="str">
        <f t="shared" si="2"/>
        <v/>
      </c>
      <c r="O32" s="9">
        <v>-2.0000000000000001E-4</v>
      </c>
      <c r="P32" s="9" t="str">
        <f t="shared" si="2"/>
        <v/>
      </c>
      <c r="Q32" s="9">
        <v>9.4590000000000001E-5</v>
      </c>
      <c r="R32" s="9" t="str">
        <f t="shared" si="2"/>
        <v/>
      </c>
      <c r="S32" s="9">
        <v>-2.0000000000000001E-4</v>
      </c>
      <c r="T32" s="9" t="str">
        <f t="shared" si="2"/>
        <v/>
      </c>
      <c r="U32" s="9">
        <v>1.309E-5</v>
      </c>
      <c r="V32" s="9" t="str">
        <f t="shared" si="2"/>
        <v/>
      </c>
      <c r="W32" s="9"/>
      <c r="X32" s="9" t="str">
        <f t="shared" si="2"/>
        <v>***</v>
      </c>
      <c r="Y32" s="9"/>
      <c r="Z32" s="9" t="str">
        <f t="shared" si="1"/>
        <v>***</v>
      </c>
      <c r="AA32" s="9">
        <v>8.3609999999999994E-5</v>
      </c>
      <c r="AB32" s="9" t="str">
        <f t="shared" si="1"/>
        <v/>
      </c>
      <c r="AC32" s="9">
        <v>1.418E-5</v>
      </c>
      <c r="AD32" s="9" t="str">
        <f t="shared" si="1"/>
        <v/>
      </c>
    </row>
    <row r="33" spans="1:30" x14ac:dyDescent="0.25">
      <c r="B33" s="9">
        <v>9.2399999999999996E-5</v>
      </c>
      <c r="C33" s="9" t="str">
        <f t="shared" si="0"/>
        <v/>
      </c>
      <c r="D33" s="9" t="str">
        <f>+CONCATENATE("(",ROUND(B33,3),")")</f>
        <v>(0)</v>
      </c>
      <c r="E33" s="9">
        <v>8.4499999999999994E-5</v>
      </c>
      <c r="F33" s="9" t="str">
        <f t="shared" si="0"/>
        <v/>
      </c>
      <c r="G33" s="9"/>
      <c r="H33" s="9" t="str">
        <f t="shared" si="0"/>
        <v/>
      </c>
      <c r="I33" s="9"/>
      <c r="J33" s="9" t="str">
        <f t="shared" si="0"/>
        <v/>
      </c>
      <c r="K33" s="9">
        <v>0</v>
      </c>
      <c r="L33" s="9" t="str">
        <f t="shared" si="0"/>
        <v/>
      </c>
      <c r="M33" s="9">
        <v>0</v>
      </c>
      <c r="N33" s="9" t="str">
        <f t="shared" si="2"/>
        <v/>
      </c>
      <c r="O33" s="9">
        <v>0</v>
      </c>
      <c r="P33" s="9" t="str">
        <f t="shared" si="2"/>
        <v/>
      </c>
      <c r="Q33" s="9">
        <v>0</v>
      </c>
      <c r="R33" s="9" t="str">
        <f t="shared" si="2"/>
        <v/>
      </c>
      <c r="S33" s="9">
        <v>0</v>
      </c>
      <c r="T33" s="9" t="str">
        <f t="shared" si="2"/>
        <v/>
      </c>
      <c r="U33" s="9">
        <v>0</v>
      </c>
      <c r="V33" s="9" t="str">
        <f t="shared" si="2"/>
        <v/>
      </c>
      <c r="W33" s="9"/>
      <c r="X33" s="9" t="str">
        <f t="shared" si="2"/>
        <v/>
      </c>
      <c r="Y33" s="9"/>
      <c r="Z33" s="9" t="str">
        <f t="shared" si="1"/>
        <v/>
      </c>
      <c r="AA33" s="9">
        <v>0</v>
      </c>
      <c r="AB33" s="9" t="str">
        <f t="shared" si="1"/>
        <v/>
      </c>
      <c r="AC33" s="9">
        <v>0</v>
      </c>
      <c r="AD33" s="9" t="str">
        <f t="shared" si="1"/>
        <v/>
      </c>
    </row>
    <row r="34" spans="1:30" x14ac:dyDescent="0.25">
      <c r="B34" s="9">
        <v>0.61</v>
      </c>
      <c r="C34" s="9" t="str">
        <f t="shared" si="0"/>
        <v/>
      </c>
      <c r="D34" s="9"/>
      <c r="E34" s="9">
        <v>0.52200000000000002</v>
      </c>
      <c r="F34" s="9" t="str">
        <f t="shared" si="0"/>
        <v/>
      </c>
      <c r="G34" s="9"/>
      <c r="H34" s="9" t="str">
        <f t="shared" si="0"/>
        <v/>
      </c>
      <c r="I34" s="9"/>
      <c r="J34" s="9" t="str">
        <f t="shared" si="0"/>
        <v/>
      </c>
      <c r="K34" s="9">
        <v>0.49199999999999999</v>
      </c>
      <c r="L34" s="9" t="str">
        <f t="shared" si="0"/>
        <v/>
      </c>
      <c r="M34" s="9">
        <v>0.78300000000000003</v>
      </c>
      <c r="N34" s="9" t="str">
        <f t="shared" si="2"/>
        <v/>
      </c>
      <c r="O34" s="9">
        <v>0.54600000000000004</v>
      </c>
      <c r="P34" s="9" t="str">
        <f t="shared" si="2"/>
        <v/>
      </c>
      <c r="Q34" s="9">
        <v>0.68100000000000005</v>
      </c>
      <c r="R34" s="9" t="str">
        <f t="shared" si="2"/>
        <v/>
      </c>
      <c r="S34" s="9">
        <v>0.38300000000000001</v>
      </c>
      <c r="T34" s="9" t="str">
        <f t="shared" si="2"/>
        <v/>
      </c>
      <c r="U34" s="9">
        <v>0.95599999999999996</v>
      </c>
      <c r="V34" s="9" t="str">
        <f t="shared" si="2"/>
        <v/>
      </c>
      <c r="W34" s="9"/>
      <c r="X34" s="9" t="str">
        <f t="shared" si="2"/>
        <v/>
      </c>
      <c r="Y34" s="9"/>
      <c r="Z34" s="9" t="str">
        <f t="shared" si="1"/>
        <v/>
      </c>
      <c r="AA34" s="9">
        <v>0.55600000000000005</v>
      </c>
      <c r="AB34" s="9" t="str">
        <f t="shared" si="1"/>
        <v/>
      </c>
      <c r="AC34" s="9">
        <v>0.91100000000000003</v>
      </c>
      <c r="AD34" s="9" t="str">
        <f t="shared" si="1"/>
        <v/>
      </c>
    </row>
    <row r="35" spans="1:30" x14ac:dyDescent="0.25">
      <c r="A35" t="s">
        <v>40</v>
      </c>
      <c r="B35" s="9">
        <v>-1E-3</v>
      </c>
      <c r="C35" s="9" t="str">
        <f t="shared" si="0"/>
        <v/>
      </c>
      <c r="D35" s="9" t="str">
        <f>+CONCATENATE(ROUND(B35,3), " ",C35)</f>
        <v xml:space="preserve">-0,001 </v>
      </c>
      <c r="E35" s="9">
        <v>-1.9E-3</v>
      </c>
      <c r="F35" s="9" t="str">
        <f t="shared" si="0"/>
        <v/>
      </c>
      <c r="G35" s="9">
        <v>1E-3</v>
      </c>
      <c r="H35" s="9" t="str">
        <f t="shared" si="0"/>
        <v/>
      </c>
      <c r="I35" s="9">
        <v>1.2999999999999999E-3</v>
      </c>
      <c r="J35" s="9" t="str">
        <f t="shared" si="0"/>
        <v/>
      </c>
      <c r="K35" s="9">
        <v>-5.7779999999999999E-5</v>
      </c>
      <c r="L35" s="9" t="str">
        <f t="shared" si="0"/>
        <v/>
      </c>
      <c r="M35" s="9">
        <v>6.9999999999999999E-4</v>
      </c>
      <c r="N35" s="9" t="str">
        <f t="shared" si="2"/>
        <v/>
      </c>
      <c r="O35" s="9">
        <v>-1.4999999999999999E-2</v>
      </c>
      <c r="P35" s="9" t="str">
        <f t="shared" si="2"/>
        <v>***</v>
      </c>
      <c r="Q35" s="9">
        <v>-1.0699999999999999E-2</v>
      </c>
      <c r="R35" s="9" t="str">
        <f t="shared" si="2"/>
        <v>**</v>
      </c>
      <c r="S35" s="9">
        <v>-5.7999999999999996E-3</v>
      </c>
      <c r="T35" s="9" t="str">
        <f t="shared" si="2"/>
        <v/>
      </c>
      <c r="U35" s="9">
        <v>-6.1000000000000004E-3</v>
      </c>
      <c r="V35" s="9" t="str">
        <f t="shared" si="2"/>
        <v/>
      </c>
      <c r="W35" s="9"/>
      <c r="X35" s="9" t="str">
        <f t="shared" si="2"/>
        <v>***</v>
      </c>
      <c r="Y35" s="9"/>
      <c r="Z35" s="9" t="str">
        <f t="shared" si="1"/>
        <v>***</v>
      </c>
      <c r="AA35" s="9"/>
      <c r="AB35" s="9" t="str">
        <f t="shared" si="1"/>
        <v>***</v>
      </c>
      <c r="AC35" s="9"/>
      <c r="AD35" s="9" t="str">
        <f t="shared" si="1"/>
        <v>***</v>
      </c>
    </row>
    <row r="36" spans="1:30" x14ac:dyDescent="0.25">
      <c r="B36" s="9">
        <v>2E-3</v>
      </c>
      <c r="C36" s="9" t="str">
        <f t="shared" si="0"/>
        <v/>
      </c>
      <c r="D36" s="9" t="str">
        <f>+CONCATENATE("(",ROUND(B36,3),")")</f>
        <v>(0,002)</v>
      </c>
      <c r="E36" s="9">
        <v>2E-3</v>
      </c>
      <c r="F36" s="9" t="str">
        <f t="shared" si="0"/>
        <v/>
      </c>
      <c r="G36" s="9">
        <v>2E-3</v>
      </c>
      <c r="H36" s="9" t="str">
        <f t="shared" si="0"/>
        <v/>
      </c>
      <c r="I36" s="9">
        <v>2E-3</v>
      </c>
      <c r="J36" s="9" t="str">
        <f t="shared" si="0"/>
        <v/>
      </c>
      <c r="K36" s="9">
        <v>3.0000000000000001E-3</v>
      </c>
      <c r="L36" s="9" t="str">
        <f t="shared" si="0"/>
        <v/>
      </c>
      <c r="M36" s="9">
        <v>2E-3</v>
      </c>
      <c r="N36" s="9" t="str">
        <f t="shared" si="2"/>
        <v/>
      </c>
      <c r="O36" s="9">
        <v>5.0000000000000001E-3</v>
      </c>
      <c r="P36" s="9" t="str">
        <f t="shared" si="2"/>
        <v/>
      </c>
      <c r="Q36" s="9">
        <v>4.0000000000000001E-3</v>
      </c>
      <c r="R36" s="9" t="str">
        <f t="shared" si="2"/>
        <v/>
      </c>
      <c r="S36" s="9">
        <v>5.0000000000000001E-3</v>
      </c>
      <c r="T36" s="9" t="str">
        <f t="shared" si="2"/>
        <v/>
      </c>
      <c r="U36" s="9">
        <v>4.0000000000000001E-3</v>
      </c>
      <c r="V36" s="9" t="str">
        <f t="shared" si="2"/>
        <v/>
      </c>
      <c r="W36" s="9"/>
      <c r="X36" s="9" t="str">
        <f t="shared" si="2"/>
        <v/>
      </c>
      <c r="Y36" s="9"/>
      <c r="Z36" s="9" t="str">
        <f t="shared" si="1"/>
        <v/>
      </c>
      <c r="AA36" s="9"/>
      <c r="AB36" s="9" t="str">
        <f t="shared" si="1"/>
        <v/>
      </c>
      <c r="AC36" s="9"/>
      <c r="AD36" s="9" t="str">
        <f t="shared" si="1"/>
        <v/>
      </c>
    </row>
    <row r="37" spans="1:30" x14ac:dyDescent="0.25">
      <c r="B37" s="9">
        <v>0.56499999999999995</v>
      </c>
      <c r="C37" s="9" t="str">
        <f t="shared" si="0"/>
        <v/>
      </c>
      <c r="D37" s="9"/>
      <c r="E37" s="9">
        <v>0.23699999999999999</v>
      </c>
      <c r="F37" s="9" t="str">
        <f t="shared" si="0"/>
        <v/>
      </c>
      <c r="G37" s="9">
        <v>0.68100000000000005</v>
      </c>
      <c r="H37" s="9" t="str">
        <f t="shared" si="0"/>
        <v/>
      </c>
      <c r="I37" s="9">
        <v>0.55300000000000005</v>
      </c>
      <c r="J37" s="9" t="str">
        <f t="shared" si="0"/>
        <v/>
      </c>
      <c r="K37" s="9">
        <v>0.98199999999999998</v>
      </c>
      <c r="L37" s="9" t="str">
        <f t="shared" si="0"/>
        <v/>
      </c>
      <c r="M37" s="9">
        <v>0.77900000000000003</v>
      </c>
      <c r="N37" s="9" t="str">
        <f t="shared" si="2"/>
        <v/>
      </c>
      <c r="O37" s="9">
        <v>4.0000000000000001E-3</v>
      </c>
      <c r="P37" s="9" t="str">
        <f t="shared" si="2"/>
        <v/>
      </c>
      <c r="Q37" s="9">
        <v>1.2E-2</v>
      </c>
      <c r="R37" s="9" t="str">
        <f t="shared" si="2"/>
        <v/>
      </c>
      <c r="S37" s="9">
        <v>0.23899999999999999</v>
      </c>
      <c r="T37" s="9" t="str">
        <f t="shared" si="2"/>
        <v/>
      </c>
      <c r="U37" s="9">
        <v>0.155</v>
      </c>
      <c r="V37" s="9" t="str">
        <f t="shared" si="2"/>
        <v/>
      </c>
      <c r="W37" s="9"/>
      <c r="X37" s="9" t="str">
        <f t="shared" si="2"/>
        <v/>
      </c>
      <c r="Y37" s="9"/>
      <c r="Z37" s="9" t="str">
        <f t="shared" si="1"/>
        <v/>
      </c>
      <c r="AA37" s="9"/>
      <c r="AB37" s="9" t="str">
        <f t="shared" si="1"/>
        <v/>
      </c>
      <c r="AC37" s="9"/>
      <c r="AD37" s="9" t="str">
        <f t="shared" si="1"/>
        <v/>
      </c>
    </row>
    <row r="38" spans="1:30" x14ac:dyDescent="0.25">
      <c r="A38" t="s">
        <v>41</v>
      </c>
      <c r="B38" s="9">
        <v>-2.2000000000000001E-3</v>
      </c>
      <c r="C38" s="9" t="str">
        <f t="shared" si="0"/>
        <v/>
      </c>
      <c r="D38" s="9" t="str">
        <f>+CONCATENATE(ROUND(B38,3), " ",C38)</f>
        <v xml:space="preserve">-0,002 </v>
      </c>
      <c r="E38" s="9">
        <v>-1.6999999999999999E-3</v>
      </c>
      <c r="F38" s="9" t="str">
        <f t="shared" si="0"/>
        <v/>
      </c>
      <c r="G38" s="9"/>
      <c r="H38" s="9" t="str">
        <f t="shared" si="0"/>
        <v>***</v>
      </c>
      <c r="I38" s="9"/>
      <c r="J38" s="9" t="str">
        <f t="shared" si="0"/>
        <v>***</v>
      </c>
      <c r="K38" s="9"/>
      <c r="L38" s="9" t="str">
        <f t="shared" si="0"/>
        <v>***</v>
      </c>
      <c r="M38" s="9"/>
      <c r="N38" s="9" t="str">
        <f t="shared" si="2"/>
        <v>***</v>
      </c>
      <c r="O38" s="9">
        <v>-2.7900000000000001E-2</v>
      </c>
      <c r="P38" s="9" t="str">
        <f t="shared" si="2"/>
        <v>**</v>
      </c>
      <c r="Q38" s="9">
        <v>-1.2699999999999999E-2</v>
      </c>
      <c r="R38" s="9" t="str">
        <f t="shared" si="2"/>
        <v/>
      </c>
      <c r="S38" s="9">
        <v>-3.0599999999999999E-2</v>
      </c>
      <c r="T38" s="9" t="str">
        <f t="shared" si="2"/>
        <v>***</v>
      </c>
      <c r="U38" s="9">
        <v>-1.54E-2</v>
      </c>
      <c r="V38" s="9" t="str">
        <f t="shared" si="2"/>
        <v/>
      </c>
      <c r="W38" s="9"/>
      <c r="X38" s="9" t="str">
        <f t="shared" si="2"/>
        <v>***</v>
      </c>
      <c r="Y38" s="9"/>
      <c r="Z38" s="9" t="str">
        <f t="shared" si="1"/>
        <v>***</v>
      </c>
      <c r="AA38" s="9"/>
      <c r="AB38" s="9" t="str">
        <f t="shared" si="1"/>
        <v>***</v>
      </c>
      <c r="AC38" s="9"/>
      <c r="AD38" s="9" t="str">
        <f t="shared" si="1"/>
        <v>***</v>
      </c>
    </row>
    <row r="39" spans="1:30" x14ac:dyDescent="0.25">
      <c r="B39" s="9">
        <v>4.0000000000000001E-3</v>
      </c>
      <c r="C39" s="9" t="str">
        <f t="shared" si="0"/>
        <v/>
      </c>
      <c r="D39" s="9" t="str">
        <f>+CONCATENATE("(",ROUND(B39,3),")")</f>
        <v>(0,004)</v>
      </c>
      <c r="E39" s="9">
        <v>4.0000000000000001E-3</v>
      </c>
      <c r="F39" s="9" t="str">
        <f t="shared" si="0"/>
        <v/>
      </c>
      <c r="G39" s="9"/>
      <c r="H39" s="9" t="str">
        <f t="shared" si="0"/>
        <v/>
      </c>
      <c r="I39" s="9"/>
      <c r="J39" s="9" t="str">
        <f t="shared" si="0"/>
        <v/>
      </c>
      <c r="K39" s="9"/>
      <c r="L39" s="9" t="str">
        <f t="shared" si="0"/>
        <v/>
      </c>
      <c r="M39" s="9"/>
      <c r="N39" s="9" t="str">
        <f t="shared" si="2"/>
        <v/>
      </c>
      <c r="O39" s="9">
        <v>1.2E-2</v>
      </c>
      <c r="P39" s="9" t="str">
        <f t="shared" si="2"/>
        <v/>
      </c>
      <c r="Q39" s="9">
        <v>0.01</v>
      </c>
      <c r="R39" s="9" t="str">
        <f t="shared" si="2"/>
        <v/>
      </c>
      <c r="S39" s="9">
        <v>1.2E-2</v>
      </c>
      <c r="T39" s="9" t="str">
        <f t="shared" si="2"/>
        <v/>
      </c>
      <c r="U39" s="9">
        <v>0.01</v>
      </c>
      <c r="V39" s="9" t="str">
        <f t="shared" si="2"/>
        <v/>
      </c>
      <c r="W39" s="9"/>
      <c r="X39" s="9" t="str">
        <f t="shared" si="2"/>
        <v/>
      </c>
      <c r="Y39" s="9"/>
      <c r="Z39" s="9" t="str">
        <f t="shared" si="1"/>
        <v/>
      </c>
      <c r="AA39" s="9"/>
      <c r="AB39" s="9" t="str">
        <f t="shared" si="1"/>
        <v/>
      </c>
      <c r="AC39" s="9"/>
      <c r="AD39" s="9" t="str">
        <f t="shared" si="1"/>
        <v/>
      </c>
    </row>
    <row r="40" spans="1:30" x14ac:dyDescent="0.25">
      <c r="B40" s="9">
        <v>0.58299999999999996</v>
      </c>
      <c r="C40" s="9" t="str">
        <f t="shared" si="0"/>
        <v/>
      </c>
      <c r="D40" s="9"/>
      <c r="E40" s="9">
        <v>0.65300000000000002</v>
      </c>
      <c r="F40" s="9" t="str">
        <f t="shared" si="0"/>
        <v/>
      </c>
      <c r="G40" s="9"/>
      <c r="H40" s="9" t="str">
        <f t="shared" si="0"/>
        <v/>
      </c>
      <c r="I40" s="9"/>
      <c r="J40" s="9" t="str">
        <f t="shared" si="0"/>
        <v/>
      </c>
      <c r="K40" s="9"/>
      <c r="L40" s="9" t="str">
        <f t="shared" si="0"/>
        <v/>
      </c>
      <c r="M40" s="9"/>
      <c r="N40" s="9" t="str">
        <f t="shared" si="2"/>
        <v/>
      </c>
      <c r="O40" s="9">
        <v>0.02</v>
      </c>
      <c r="P40" s="9" t="str">
        <f t="shared" si="2"/>
        <v/>
      </c>
      <c r="Q40" s="9">
        <v>0.21199999999999999</v>
      </c>
      <c r="R40" s="9" t="str">
        <f t="shared" si="2"/>
        <v/>
      </c>
      <c r="S40" s="9">
        <v>8.9999999999999993E-3</v>
      </c>
      <c r="T40" s="9" t="str">
        <f t="shared" si="2"/>
        <v/>
      </c>
      <c r="U40" s="9">
        <v>0.14099999999999999</v>
      </c>
      <c r="V40" s="9" t="str">
        <f t="shared" si="2"/>
        <v/>
      </c>
      <c r="W40" s="9"/>
      <c r="X40" s="9" t="str">
        <f t="shared" si="2"/>
        <v/>
      </c>
      <c r="Y40" s="9"/>
      <c r="Z40" s="9" t="str">
        <f t="shared" si="1"/>
        <v/>
      </c>
      <c r="AA40" s="9"/>
      <c r="AB40" s="9" t="str">
        <f t="shared" si="1"/>
        <v/>
      </c>
      <c r="AC40" s="9"/>
      <c r="AD40" s="9" t="str">
        <f t="shared" si="1"/>
        <v/>
      </c>
    </row>
    <row r="41" spans="1:30" x14ac:dyDescent="0.25">
      <c r="A41" t="s">
        <v>42</v>
      </c>
      <c r="B41" s="9">
        <v>-0.69369999999999998</v>
      </c>
      <c r="C41" s="9" t="str">
        <f t="shared" si="0"/>
        <v>***</v>
      </c>
      <c r="D41" s="9" t="str">
        <f>+CONCATENATE(ROUND(B41,3), " ",C41)</f>
        <v>-0,694 ***</v>
      </c>
      <c r="E41" s="9">
        <v>-0.7591</v>
      </c>
      <c r="F41" s="9" t="str">
        <f t="shared" si="0"/>
        <v>***</v>
      </c>
      <c r="G41" s="9"/>
      <c r="H41" s="9" t="str">
        <f t="shared" si="0"/>
        <v>***</v>
      </c>
      <c r="I41" s="9"/>
      <c r="J41" s="9" t="str">
        <f t="shared" si="0"/>
        <v>***</v>
      </c>
      <c r="K41" s="9"/>
      <c r="L41" s="9" t="str">
        <f t="shared" si="0"/>
        <v>***</v>
      </c>
      <c r="M41" s="9"/>
      <c r="N41" s="9" t="str">
        <f t="shared" si="2"/>
        <v>***</v>
      </c>
      <c r="O41" s="9"/>
      <c r="P41" s="9" t="str">
        <f t="shared" si="2"/>
        <v>***</v>
      </c>
      <c r="Q41" s="9"/>
      <c r="R41" s="9" t="str">
        <f t="shared" si="2"/>
        <v>***</v>
      </c>
      <c r="S41" s="9"/>
      <c r="T41" s="9" t="str">
        <f t="shared" si="2"/>
        <v>***</v>
      </c>
      <c r="U41" s="9"/>
      <c r="V41" s="9" t="str">
        <f t="shared" si="2"/>
        <v>***</v>
      </c>
      <c r="W41" s="9">
        <v>-0.69610000000000005</v>
      </c>
      <c r="X41" s="9" t="str">
        <f t="shared" si="2"/>
        <v>***</v>
      </c>
      <c r="Y41" s="9">
        <v>-0.75339999999999996</v>
      </c>
      <c r="Z41" s="9" t="str">
        <f t="shared" si="1"/>
        <v>***</v>
      </c>
      <c r="AA41" s="9"/>
      <c r="AB41" s="9" t="str">
        <f t="shared" si="1"/>
        <v>***</v>
      </c>
      <c r="AC41" s="9"/>
      <c r="AD41" s="9" t="str">
        <f t="shared" si="1"/>
        <v>***</v>
      </c>
    </row>
    <row r="42" spans="1:30" x14ac:dyDescent="0.25">
      <c r="B42" s="9">
        <v>7.0000000000000007E-2</v>
      </c>
      <c r="C42" s="9" t="str">
        <f t="shared" si="0"/>
        <v/>
      </c>
      <c r="D42" s="9" t="str">
        <f>+CONCATENATE("(",ROUND(B42,3),")")</f>
        <v>(0,07)</v>
      </c>
      <c r="E42" s="9">
        <v>6.5000000000000002E-2</v>
      </c>
      <c r="F42" s="9" t="str">
        <f t="shared" si="0"/>
        <v/>
      </c>
      <c r="G42" s="9"/>
      <c r="H42" s="9" t="str">
        <f t="shared" si="0"/>
        <v/>
      </c>
      <c r="I42" s="9"/>
      <c r="J42" s="9" t="str">
        <f t="shared" si="0"/>
        <v/>
      </c>
      <c r="K42" s="9"/>
      <c r="L42" s="9" t="str">
        <f t="shared" si="0"/>
        <v/>
      </c>
      <c r="M42" s="9"/>
      <c r="N42" s="9" t="str">
        <f t="shared" si="2"/>
        <v/>
      </c>
      <c r="O42" s="9"/>
      <c r="P42" s="9" t="str">
        <f t="shared" si="2"/>
        <v/>
      </c>
      <c r="Q42" s="9"/>
      <c r="R42" s="9" t="str">
        <f t="shared" si="2"/>
        <v/>
      </c>
      <c r="S42" s="9"/>
      <c r="T42" s="9" t="str">
        <f t="shared" si="2"/>
        <v/>
      </c>
      <c r="U42" s="9"/>
      <c r="V42" s="9" t="str">
        <f t="shared" si="2"/>
        <v/>
      </c>
      <c r="W42" s="9">
        <v>7.0999999999999994E-2</v>
      </c>
      <c r="X42" s="9" t="str">
        <f t="shared" si="2"/>
        <v/>
      </c>
      <c r="Y42" s="9">
        <v>6.5000000000000002E-2</v>
      </c>
      <c r="Z42" s="9" t="str">
        <f t="shared" si="1"/>
        <v/>
      </c>
      <c r="AA42" s="9"/>
      <c r="AB42" s="9" t="str">
        <f t="shared" si="1"/>
        <v/>
      </c>
      <c r="AC42" s="9"/>
      <c r="AD42" s="9" t="str">
        <f t="shared" si="1"/>
        <v/>
      </c>
    </row>
    <row r="43" spans="1:30" x14ac:dyDescent="0.25">
      <c r="B43" s="9">
        <v>0</v>
      </c>
      <c r="C43" s="9" t="str">
        <f t="shared" si="0"/>
        <v/>
      </c>
      <c r="D43" s="9"/>
      <c r="E43" s="9">
        <v>0</v>
      </c>
      <c r="F43" s="9" t="str">
        <f t="shared" si="0"/>
        <v/>
      </c>
      <c r="G43" s="9"/>
      <c r="H43" s="9" t="str">
        <f t="shared" si="0"/>
        <v/>
      </c>
      <c r="I43" s="9"/>
      <c r="J43" s="9" t="str">
        <f t="shared" si="0"/>
        <v/>
      </c>
      <c r="K43" s="9"/>
      <c r="L43" s="9" t="str">
        <f t="shared" si="0"/>
        <v/>
      </c>
      <c r="M43" s="9"/>
      <c r="N43" s="9" t="str">
        <f t="shared" si="2"/>
        <v/>
      </c>
      <c r="O43" s="9"/>
      <c r="P43" s="9" t="str">
        <f t="shared" si="2"/>
        <v/>
      </c>
      <c r="Q43" s="9"/>
      <c r="R43" s="9" t="str">
        <f t="shared" si="2"/>
        <v/>
      </c>
      <c r="S43" s="9"/>
      <c r="T43" s="9" t="str">
        <f t="shared" si="2"/>
        <v/>
      </c>
      <c r="U43" s="9"/>
      <c r="V43" s="9" t="str">
        <f t="shared" si="2"/>
        <v/>
      </c>
      <c r="W43" s="9">
        <v>0</v>
      </c>
      <c r="X43" s="9" t="str">
        <f t="shared" si="2"/>
        <v/>
      </c>
      <c r="Y43" s="9">
        <v>0</v>
      </c>
      <c r="Z43" s="9" t="str">
        <f t="shared" si="1"/>
        <v/>
      </c>
      <c r="AA43" s="9"/>
      <c r="AB43" s="9" t="str">
        <f t="shared" si="1"/>
        <v/>
      </c>
      <c r="AC43" s="9"/>
      <c r="AD43" s="9" t="str">
        <f t="shared" si="1"/>
        <v/>
      </c>
    </row>
    <row r="44" spans="1:30" x14ac:dyDescent="0.25">
      <c r="A44" t="s">
        <v>43</v>
      </c>
      <c r="B44" s="9">
        <v>1.5258</v>
      </c>
      <c r="C44" s="9" t="str">
        <f t="shared" si="0"/>
        <v>***</v>
      </c>
      <c r="D44" s="9" t="str">
        <f>+CONCATENATE(ROUND(B44,3), " ",C44)</f>
        <v>1,526 ***</v>
      </c>
      <c r="E44" s="9">
        <v>1.5589</v>
      </c>
      <c r="F44" s="9" t="str">
        <f t="shared" si="0"/>
        <v>***</v>
      </c>
      <c r="G44" s="9">
        <v>0.90759999999999996</v>
      </c>
      <c r="H44" s="9" t="str">
        <f t="shared" si="0"/>
        <v>***</v>
      </c>
      <c r="I44" s="9">
        <v>0.88129999999999997</v>
      </c>
      <c r="J44" s="9" t="str">
        <f t="shared" si="0"/>
        <v>***</v>
      </c>
      <c r="K44" s="9">
        <v>0.93259999999999998</v>
      </c>
      <c r="L44" s="9" t="str">
        <f t="shared" si="0"/>
        <v>***</v>
      </c>
      <c r="M44" s="9">
        <v>0.90080000000000005</v>
      </c>
      <c r="N44" s="9" t="str">
        <f t="shared" si="2"/>
        <v>***</v>
      </c>
      <c r="O44" s="9"/>
      <c r="P44" s="9" t="str">
        <f t="shared" si="2"/>
        <v>***</v>
      </c>
      <c r="Q44" s="9"/>
      <c r="R44" s="9" t="str">
        <f t="shared" si="2"/>
        <v>***</v>
      </c>
      <c r="S44" s="9"/>
      <c r="T44" s="9" t="str">
        <f t="shared" si="2"/>
        <v>***</v>
      </c>
      <c r="U44" s="9"/>
      <c r="V44" s="9" t="str">
        <f t="shared" si="2"/>
        <v>***</v>
      </c>
      <c r="W44" s="9">
        <v>1.5333000000000001</v>
      </c>
      <c r="X44" s="9" t="str">
        <f t="shared" ref="X44:AD58" si="3">+IF($A44&lt;&gt;"",IF(W46&lt;0.01,"***",IF(W46&lt;0.05,"**",IF(W46&lt;0.1,"*",""))),"")</f>
        <v>***</v>
      </c>
      <c r="Y44" s="9">
        <v>1.5558000000000001</v>
      </c>
      <c r="Z44" s="9" t="str">
        <f t="shared" si="3"/>
        <v>***</v>
      </c>
      <c r="AA44" s="9">
        <v>0.92910000000000004</v>
      </c>
      <c r="AB44" s="9" t="str">
        <f t="shared" si="3"/>
        <v>***</v>
      </c>
      <c r="AC44" s="9">
        <v>0.90200000000000002</v>
      </c>
      <c r="AD44" s="9" t="str">
        <f t="shared" si="3"/>
        <v>***</v>
      </c>
    </row>
    <row r="45" spans="1:30" x14ac:dyDescent="0.25">
      <c r="B45" s="9">
        <v>7.3999999999999996E-2</v>
      </c>
      <c r="C45" s="9" t="str">
        <f t="shared" si="0"/>
        <v/>
      </c>
      <c r="D45" s="9" t="str">
        <f>+CONCATENATE("(",ROUND(B45,3),")")</f>
        <v>(0,074)</v>
      </c>
      <c r="E45" s="9">
        <v>7.0000000000000007E-2</v>
      </c>
      <c r="F45" s="9" t="str">
        <f t="shared" si="0"/>
        <v/>
      </c>
      <c r="G45" s="9">
        <v>1.4E-2</v>
      </c>
      <c r="H45" s="9" t="str">
        <f t="shared" si="0"/>
        <v/>
      </c>
      <c r="I45" s="9">
        <v>1.6E-2</v>
      </c>
      <c r="J45" s="9" t="str">
        <f t="shared" si="0"/>
        <v/>
      </c>
      <c r="K45" s="9">
        <v>1.2999999999999999E-2</v>
      </c>
      <c r="L45" s="9" t="str">
        <f t="shared" si="0"/>
        <v/>
      </c>
      <c r="M45" s="9">
        <v>1.4999999999999999E-2</v>
      </c>
      <c r="N45" s="9" t="str">
        <f t="shared" si="2"/>
        <v/>
      </c>
      <c r="O45" s="9"/>
      <c r="P45" s="9" t="str">
        <f t="shared" si="2"/>
        <v/>
      </c>
      <c r="Q45" s="9"/>
      <c r="R45" s="9" t="str">
        <f t="shared" si="2"/>
        <v/>
      </c>
      <c r="S45" s="9"/>
      <c r="T45" s="9" t="str">
        <f t="shared" si="2"/>
        <v/>
      </c>
      <c r="U45" s="9"/>
      <c r="V45" s="9" t="str">
        <f t="shared" si="2"/>
        <v/>
      </c>
      <c r="W45" s="9">
        <v>7.5999999999999998E-2</v>
      </c>
      <c r="X45" s="9" t="str">
        <f t="shared" si="3"/>
        <v/>
      </c>
      <c r="Y45" s="9">
        <v>7.0999999999999994E-2</v>
      </c>
      <c r="Z45" s="9" t="str">
        <f t="shared" si="3"/>
        <v/>
      </c>
      <c r="AA45" s="9">
        <v>1.2999999999999999E-2</v>
      </c>
      <c r="AB45" s="9" t="str">
        <f t="shared" si="3"/>
        <v/>
      </c>
      <c r="AC45" s="9">
        <v>1.4999999999999999E-2</v>
      </c>
      <c r="AD45" s="9" t="str">
        <f t="shared" si="3"/>
        <v/>
      </c>
    </row>
    <row r="46" spans="1:30" x14ac:dyDescent="0.25">
      <c r="B46" s="9">
        <v>0</v>
      </c>
      <c r="C46" s="9" t="str">
        <f t="shared" si="0"/>
        <v/>
      </c>
      <c r="D46" s="9"/>
      <c r="E46" s="9">
        <v>0</v>
      </c>
      <c r="F46" s="9" t="str">
        <f t="shared" si="0"/>
        <v/>
      </c>
      <c r="G46" s="9">
        <v>0</v>
      </c>
      <c r="H46" s="9" t="str">
        <f t="shared" si="0"/>
        <v/>
      </c>
      <c r="I46" s="9">
        <v>0</v>
      </c>
      <c r="J46" s="9" t="str">
        <f t="shared" si="0"/>
        <v/>
      </c>
      <c r="K46" s="9">
        <v>0</v>
      </c>
      <c r="L46" s="9" t="str">
        <f t="shared" si="0"/>
        <v/>
      </c>
      <c r="M46" s="9">
        <v>0</v>
      </c>
      <c r="N46" s="9" t="str">
        <f t="shared" si="2"/>
        <v/>
      </c>
      <c r="O46" s="9"/>
      <c r="P46" s="9" t="str">
        <f t="shared" si="2"/>
        <v/>
      </c>
      <c r="Q46" s="9"/>
      <c r="R46" s="9" t="str">
        <f t="shared" si="2"/>
        <v/>
      </c>
      <c r="S46" s="9"/>
      <c r="T46" s="9" t="str">
        <f t="shared" si="2"/>
        <v/>
      </c>
      <c r="U46" s="9"/>
      <c r="V46" s="9" t="str">
        <f t="shared" si="2"/>
        <v/>
      </c>
      <c r="W46" s="9">
        <v>0</v>
      </c>
      <c r="X46" s="9" t="str">
        <f t="shared" si="3"/>
        <v/>
      </c>
      <c r="Y46" s="9">
        <v>0</v>
      </c>
      <c r="Z46" s="9" t="str">
        <f t="shared" si="3"/>
        <v/>
      </c>
      <c r="AA46" s="9">
        <v>0</v>
      </c>
      <c r="AB46" s="9" t="str">
        <f t="shared" si="3"/>
        <v/>
      </c>
      <c r="AC46" s="9">
        <v>0</v>
      </c>
      <c r="AD46" s="9" t="str">
        <f t="shared" si="3"/>
        <v/>
      </c>
    </row>
    <row r="47" spans="1:30" x14ac:dyDescent="0.25">
      <c r="A47" t="s">
        <v>44</v>
      </c>
      <c r="B47" s="9">
        <v>0.58899999999999997</v>
      </c>
      <c r="C47" s="9" t="str">
        <f t="shared" si="0"/>
        <v>***</v>
      </c>
      <c r="D47" s="9" t="str">
        <f>+CONCATENATE(ROUND(B47,3), " ",C47)</f>
        <v>0,589 ***</v>
      </c>
      <c r="E47" s="9">
        <v>0.34250000000000003</v>
      </c>
      <c r="F47" s="9" t="str">
        <f t="shared" si="0"/>
        <v>***</v>
      </c>
      <c r="G47" s="9">
        <v>0.67</v>
      </c>
      <c r="H47" s="9" t="str">
        <f t="shared" si="0"/>
        <v>***</v>
      </c>
      <c r="I47" s="9">
        <v>0.45960000000000001</v>
      </c>
      <c r="J47" s="9" t="str">
        <f t="shared" si="0"/>
        <v>***</v>
      </c>
      <c r="K47" s="9"/>
      <c r="L47" s="9" t="str">
        <f t="shared" si="0"/>
        <v>***</v>
      </c>
      <c r="M47" s="9"/>
      <c r="N47" s="9" t="str">
        <f t="shared" si="2"/>
        <v>***</v>
      </c>
      <c r="O47" s="9">
        <v>1.1116999999999999</v>
      </c>
      <c r="P47" s="9" t="str">
        <f t="shared" si="2"/>
        <v>***</v>
      </c>
      <c r="Q47" s="9">
        <v>0.747</v>
      </c>
      <c r="R47" s="9" t="str">
        <f t="shared" si="2"/>
        <v>***</v>
      </c>
      <c r="S47" s="9">
        <v>0.78210000000000002</v>
      </c>
      <c r="T47" s="9" t="str">
        <f t="shared" si="2"/>
        <v>***</v>
      </c>
      <c r="U47" s="9">
        <v>0.4551</v>
      </c>
      <c r="V47" s="9" t="str">
        <f t="shared" si="2"/>
        <v>**</v>
      </c>
      <c r="W47" s="9">
        <v>0.56920000000000004</v>
      </c>
      <c r="X47" s="9" t="str">
        <f t="shared" si="3"/>
        <v>***</v>
      </c>
      <c r="Y47" s="9">
        <v>0.317</v>
      </c>
      <c r="Z47" s="9" t="str">
        <f t="shared" si="3"/>
        <v>***</v>
      </c>
      <c r="AA47" s="9"/>
      <c r="AB47" s="9" t="str">
        <f t="shared" si="3"/>
        <v>***</v>
      </c>
      <c r="AC47" s="9"/>
      <c r="AD47" s="9" t="str">
        <f t="shared" si="3"/>
        <v>***</v>
      </c>
    </row>
    <row r="48" spans="1:30" x14ac:dyDescent="0.25">
      <c r="B48" s="9">
        <v>6.2E-2</v>
      </c>
      <c r="C48" s="9" t="str">
        <f t="shared" si="0"/>
        <v/>
      </c>
      <c r="D48" s="9" t="str">
        <f>+CONCATENATE("(",ROUND(B48,3),")")</f>
        <v>(0,062)</v>
      </c>
      <c r="E48" s="9">
        <v>6.9000000000000006E-2</v>
      </c>
      <c r="F48" s="9" t="str">
        <f t="shared" si="0"/>
        <v/>
      </c>
      <c r="G48" s="9">
        <v>8.4000000000000005E-2</v>
      </c>
      <c r="H48" s="9" t="str">
        <f t="shared" si="0"/>
        <v/>
      </c>
      <c r="I48" s="9">
        <v>9.5000000000000001E-2</v>
      </c>
      <c r="J48" s="9" t="str">
        <f t="shared" si="0"/>
        <v/>
      </c>
      <c r="K48" s="9"/>
      <c r="L48" s="9" t="str">
        <f t="shared" si="0"/>
        <v/>
      </c>
      <c r="M48" s="9"/>
      <c r="N48" s="9" t="str">
        <f t="shared" si="2"/>
        <v/>
      </c>
      <c r="O48" s="9">
        <v>0.182</v>
      </c>
      <c r="P48" s="9" t="str">
        <f t="shared" si="2"/>
        <v/>
      </c>
      <c r="Q48" s="9">
        <v>0.185</v>
      </c>
      <c r="R48" s="9" t="str">
        <f t="shared" si="2"/>
        <v/>
      </c>
      <c r="S48" s="9">
        <v>0.17499999999999999</v>
      </c>
      <c r="T48" s="9" t="str">
        <f t="shared" si="2"/>
        <v/>
      </c>
      <c r="U48" s="9">
        <v>0.187</v>
      </c>
      <c r="V48" s="9" t="str">
        <f t="shared" si="2"/>
        <v/>
      </c>
      <c r="W48" s="9">
        <v>6.4000000000000001E-2</v>
      </c>
      <c r="X48" s="9" t="str">
        <f t="shared" si="3"/>
        <v/>
      </c>
      <c r="Y48" s="9">
        <v>6.9000000000000006E-2</v>
      </c>
      <c r="Z48" s="9" t="str">
        <f t="shared" si="3"/>
        <v/>
      </c>
      <c r="AA48" s="9"/>
      <c r="AB48" s="9" t="str">
        <f t="shared" si="3"/>
        <v/>
      </c>
      <c r="AC48" s="9"/>
      <c r="AD48" s="9" t="str">
        <f t="shared" si="3"/>
        <v/>
      </c>
    </row>
    <row r="49" spans="1:30" x14ac:dyDescent="0.25">
      <c r="B49" s="9">
        <v>0</v>
      </c>
      <c r="C49" s="9" t="str">
        <f t="shared" si="0"/>
        <v/>
      </c>
      <c r="D49" s="9"/>
      <c r="E49" s="9">
        <v>0</v>
      </c>
      <c r="F49" s="9" t="str">
        <f t="shared" si="0"/>
        <v/>
      </c>
      <c r="G49" s="9">
        <v>0</v>
      </c>
      <c r="H49" s="9" t="str">
        <f t="shared" si="0"/>
        <v/>
      </c>
      <c r="I49" s="9">
        <v>0</v>
      </c>
      <c r="J49" s="9" t="str">
        <f t="shared" si="0"/>
        <v/>
      </c>
      <c r="K49" s="9"/>
      <c r="L49" s="9" t="str">
        <f t="shared" si="0"/>
        <v/>
      </c>
      <c r="M49" s="9"/>
      <c r="N49" s="9" t="str">
        <f t="shared" si="2"/>
        <v/>
      </c>
      <c r="O49" s="9">
        <v>0</v>
      </c>
      <c r="P49" s="9" t="str">
        <f t="shared" si="2"/>
        <v/>
      </c>
      <c r="Q49" s="9">
        <v>0</v>
      </c>
      <c r="R49" s="9" t="str">
        <f t="shared" si="2"/>
        <v/>
      </c>
      <c r="S49" s="9">
        <v>0</v>
      </c>
      <c r="T49" s="9" t="str">
        <f t="shared" si="2"/>
        <v/>
      </c>
      <c r="U49" s="9">
        <v>1.4999999999999999E-2</v>
      </c>
      <c r="V49" s="9" t="str">
        <f t="shared" si="2"/>
        <v/>
      </c>
      <c r="W49" s="9">
        <v>0</v>
      </c>
      <c r="X49" s="9" t="str">
        <f t="shared" si="3"/>
        <v/>
      </c>
      <c r="Y49" s="9">
        <v>0</v>
      </c>
      <c r="Z49" s="9" t="str">
        <f t="shared" si="3"/>
        <v/>
      </c>
      <c r="AA49" s="9"/>
      <c r="AB49" s="9" t="str">
        <f t="shared" si="3"/>
        <v/>
      </c>
      <c r="AC49" s="9"/>
      <c r="AD49" s="9" t="str">
        <f t="shared" si="3"/>
        <v/>
      </c>
    </row>
    <row r="50" spans="1:30" x14ac:dyDescent="0.25">
      <c r="A50" t="s">
        <v>45</v>
      </c>
      <c r="B50" s="9">
        <v>0.14649999999999999</v>
      </c>
      <c r="C50" s="9" t="str">
        <f t="shared" si="0"/>
        <v>**</v>
      </c>
      <c r="D50" s="9" t="str">
        <f>+CONCATENATE(ROUND(B50,3), " ",C50)</f>
        <v>0,147 **</v>
      </c>
      <c r="E50" s="9">
        <v>7.1999999999999995E-2</v>
      </c>
      <c r="F50" s="9" t="str">
        <f t="shared" si="0"/>
        <v/>
      </c>
      <c r="G50" s="9">
        <v>8.6400000000000005E-2</v>
      </c>
      <c r="H50" s="9" t="str">
        <f t="shared" si="0"/>
        <v/>
      </c>
      <c r="I50" s="9">
        <v>5.5500000000000001E-2</v>
      </c>
      <c r="J50" s="9" t="str">
        <f t="shared" si="0"/>
        <v/>
      </c>
      <c r="K50" s="9"/>
      <c r="L50" s="9" t="str">
        <f t="shared" si="0"/>
        <v>***</v>
      </c>
      <c r="M50" s="9"/>
      <c r="N50" s="9" t="str">
        <f t="shared" si="2"/>
        <v>***</v>
      </c>
      <c r="O50" s="9"/>
      <c r="P50" s="9" t="str">
        <f t="shared" si="2"/>
        <v>***</v>
      </c>
      <c r="Q50" s="9"/>
      <c r="R50" s="9" t="str">
        <f t="shared" si="2"/>
        <v>***</v>
      </c>
      <c r="S50" s="9">
        <v>0.92710000000000004</v>
      </c>
      <c r="T50" s="9" t="str">
        <f t="shared" si="2"/>
        <v>***</v>
      </c>
      <c r="U50" s="9">
        <v>0.45419999999999999</v>
      </c>
      <c r="V50" s="9" t="str">
        <f t="shared" si="2"/>
        <v>**</v>
      </c>
      <c r="W50" s="9"/>
      <c r="X50" s="9" t="str">
        <f t="shared" si="3"/>
        <v>***</v>
      </c>
      <c r="Y50" s="9"/>
      <c r="Z50" s="9" t="str">
        <f t="shared" si="3"/>
        <v>***</v>
      </c>
      <c r="AA50" s="9">
        <v>9.2899999999999996E-2</v>
      </c>
      <c r="AB50" s="9" t="str">
        <f t="shared" si="3"/>
        <v/>
      </c>
      <c r="AC50" s="9">
        <v>8.1600000000000006E-2</v>
      </c>
      <c r="AD50" s="9" t="str">
        <f t="shared" si="3"/>
        <v/>
      </c>
    </row>
    <row r="51" spans="1:30" x14ac:dyDescent="0.25">
      <c r="B51" s="9">
        <v>7.2999999999999995E-2</v>
      </c>
      <c r="C51" s="9" t="str">
        <f t="shared" si="0"/>
        <v/>
      </c>
      <c r="D51" s="9" t="str">
        <f>+CONCATENATE("(",ROUND(B51,3),")")</f>
        <v>(0,073)</v>
      </c>
      <c r="E51" s="9">
        <v>6.9000000000000006E-2</v>
      </c>
      <c r="F51" s="9" t="str">
        <f t="shared" si="0"/>
        <v/>
      </c>
      <c r="G51" s="9">
        <v>0.1</v>
      </c>
      <c r="H51" s="9" t="str">
        <f t="shared" si="0"/>
        <v/>
      </c>
      <c r="I51" s="9">
        <v>9.8000000000000004E-2</v>
      </c>
      <c r="J51" s="9" t="str">
        <f t="shared" si="0"/>
        <v/>
      </c>
      <c r="K51" s="9"/>
      <c r="L51" s="9" t="str">
        <f t="shared" si="0"/>
        <v/>
      </c>
      <c r="M51" s="9"/>
      <c r="N51" s="9" t="str">
        <f t="shared" si="2"/>
        <v/>
      </c>
      <c r="O51" s="9"/>
      <c r="P51" s="9" t="str">
        <f t="shared" si="2"/>
        <v/>
      </c>
      <c r="Q51" s="9"/>
      <c r="R51" s="9" t="str">
        <f t="shared" si="2"/>
        <v/>
      </c>
      <c r="S51" s="9">
        <v>0.21299999999999999</v>
      </c>
      <c r="T51" s="9" t="str">
        <f t="shared" si="2"/>
        <v/>
      </c>
      <c r="U51" s="9">
        <v>0.192</v>
      </c>
      <c r="V51" s="9" t="str">
        <f t="shared" si="2"/>
        <v/>
      </c>
      <c r="W51" s="9"/>
      <c r="X51" s="9" t="str">
        <f t="shared" si="3"/>
        <v/>
      </c>
      <c r="Y51" s="9"/>
      <c r="Z51" s="9" t="str">
        <f t="shared" si="3"/>
        <v/>
      </c>
      <c r="AA51" s="9">
        <v>0.106</v>
      </c>
      <c r="AB51" s="9" t="str">
        <f t="shared" si="3"/>
        <v/>
      </c>
      <c r="AC51" s="9">
        <v>0.10199999999999999</v>
      </c>
      <c r="AD51" s="9" t="str">
        <f t="shared" si="3"/>
        <v/>
      </c>
    </row>
    <row r="52" spans="1:30" x14ac:dyDescent="0.25">
      <c r="B52" s="9">
        <v>4.7E-2</v>
      </c>
      <c r="C52" s="9" t="str">
        <f t="shared" si="0"/>
        <v/>
      </c>
      <c r="D52" s="9"/>
      <c r="E52" s="9">
        <v>0.29799999999999999</v>
      </c>
      <c r="F52" s="9" t="str">
        <f t="shared" si="0"/>
        <v/>
      </c>
      <c r="G52" s="9">
        <v>0.39</v>
      </c>
      <c r="H52" s="9" t="str">
        <f t="shared" si="0"/>
        <v/>
      </c>
      <c r="I52" s="9">
        <v>0.57199999999999995</v>
      </c>
      <c r="J52" s="9" t="str">
        <f t="shared" si="0"/>
        <v/>
      </c>
      <c r="K52" s="9"/>
      <c r="L52" s="9" t="str">
        <f t="shared" si="0"/>
        <v/>
      </c>
      <c r="M52" s="9"/>
      <c r="N52" s="9" t="str">
        <f t="shared" si="2"/>
        <v/>
      </c>
      <c r="O52" s="9"/>
      <c r="P52" s="9" t="str">
        <f t="shared" si="2"/>
        <v/>
      </c>
      <c r="Q52" s="9"/>
      <c r="R52" s="9" t="str">
        <f t="shared" si="2"/>
        <v/>
      </c>
      <c r="S52" s="9">
        <v>0</v>
      </c>
      <c r="T52" s="9" t="str">
        <f t="shared" si="2"/>
        <v/>
      </c>
      <c r="U52" s="9">
        <v>1.9E-2</v>
      </c>
      <c r="V52" s="9" t="str">
        <f t="shared" si="2"/>
        <v/>
      </c>
      <c r="W52" s="9"/>
      <c r="X52" s="9" t="str">
        <f t="shared" si="3"/>
        <v/>
      </c>
      <c r="Y52" s="9"/>
      <c r="Z52" s="9" t="str">
        <f t="shared" si="3"/>
        <v/>
      </c>
      <c r="AA52" s="9">
        <v>0.38300000000000001</v>
      </c>
      <c r="AB52" s="9" t="str">
        <f t="shared" si="3"/>
        <v/>
      </c>
      <c r="AC52" s="9">
        <v>0.42299999999999999</v>
      </c>
      <c r="AD52" s="9" t="str">
        <f t="shared" si="3"/>
        <v/>
      </c>
    </row>
    <row r="53" spans="1:30" x14ac:dyDescent="0.25">
      <c r="A53" t="s">
        <v>46</v>
      </c>
      <c r="B53" s="9">
        <v>6.6886000000000001</v>
      </c>
      <c r="C53" s="9" t="str">
        <f t="shared" si="0"/>
        <v>***</v>
      </c>
      <c r="D53" s="9" t="str">
        <f>+CONCATENATE(ROUND(B53,3), " ",C53)</f>
        <v>6,689 ***</v>
      </c>
      <c r="E53" s="9">
        <v>5.5827999999999998</v>
      </c>
      <c r="F53" s="9" t="str">
        <f t="shared" si="0"/>
        <v>***</v>
      </c>
      <c r="G53" s="9"/>
      <c r="H53" s="9" t="str">
        <f t="shared" si="0"/>
        <v>***</v>
      </c>
      <c r="I53" s="9"/>
      <c r="J53" s="9" t="str">
        <f t="shared" si="0"/>
        <v>***</v>
      </c>
      <c r="K53" s="9"/>
      <c r="L53" s="9" t="str">
        <f t="shared" si="0"/>
        <v>***</v>
      </c>
      <c r="M53" s="9"/>
      <c r="N53" s="9" t="str">
        <f t="shared" si="2"/>
        <v>***</v>
      </c>
      <c r="O53" s="9">
        <v>-2.6288</v>
      </c>
      <c r="P53" s="9" t="str">
        <f t="shared" si="2"/>
        <v>*</v>
      </c>
      <c r="Q53" s="9">
        <v>-5.9801000000000002</v>
      </c>
      <c r="R53" s="9" t="str">
        <f t="shared" si="2"/>
        <v>***</v>
      </c>
      <c r="S53" s="9"/>
      <c r="T53" s="9" t="str">
        <f t="shared" si="2"/>
        <v>***</v>
      </c>
      <c r="U53" s="9"/>
      <c r="V53" s="9" t="str">
        <f t="shared" si="2"/>
        <v>***</v>
      </c>
      <c r="W53" s="9">
        <v>6.4630999999999998</v>
      </c>
      <c r="X53" s="9" t="str">
        <f t="shared" si="3"/>
        <v>***</v>
      </c>
      <c r="Y53" s="9">
        <v>5.4504999999999999</v>
      </c>
      <c r="Z53" s="9" t="str">
        <f t="shared" si="3"/>
        <v>***</v>
      </c>
      <c r="AA53" s="9"/>
      <c r="AB53" s="9" t="str">
        <f t="shared" si="3"/>
        <v>***</v>
      </c>
      <c r="AC53" s="9"/>
      <c r="AD53" s="9" t="str">
        <f t="shared" si="3"/>
        <v>***</v>
      </c>
    </row>
    <row r="54" spans="1:30" x14ac:dyDescent="0.25">
      <c r="B54" s="9">
        <v>0.54800000000000004</v>
      </c>
      <c r="C54" s="9" t="str">
        <f t="shared" si="0"/>
        <v/>
      </c>
      <c r="D54" s="9" t="str">
        <f>+CONCATENATE("(",ROUND(B54,3),")")</f>
        <v>(0,548)</v>
      </c>
      <c r="E54" s="9">
        <v>0.65</v>
      </c>
      <c r="F54" s="9" t="str">
        <f t="shared" si="0"/>
        <v/>
      </c>
      <c r="G54" s="9"/>
      <c r="H54" s="9" t="str">
        <f t="shared" si="0"/>
        <v/>
      </c>
      <c r="I54" s="9"/>
      <c r="J54" s="9" t="str">
        <f t="shared" si="0"/>
        <v/>
      </c>
      <c r="K54" s="9"/>
      <c r="L54" s="9" t="str">
        <f t="shared" si="0"/>
        <v/>
      </c>
      <c r="M54" s="9"/>
      <c r="N54" s="9" t="str">
        <f t="shared" si="2"/>
        <v/>
      </c>
      <c r="O54" s="9">
        <v>1.536</v>
      </c>
      <c r="P54" s="9" t="str">
        <f t="shared" si="2"/>
        <v/>
      </c>
      <c r="Q54" s="9">
        <v>1.6459999999999999</v>
      </c>
      <c r="R54" s="9" t="str">
        <f t="shared" si="2"/>
        <v/>
      </c>
      <c r="S54" s="9"/>
      <c r="T54" s="9" t="str">
        <f t="shared" si="2"/>
        <v/>
      </c>
      <c r="U54" s="9"/>
      <c r="V54" s="9" t="str">
        <f t="shared" si="2"/>
        <v/>
      </c>
      <c r="W54" s="9">
        <v>0.54900000000000004</v>
      </c>
      <c r="X54" s="9" t="str">
        <f t="shared" si="3"/>
        <v/>
      </c>
      <c r="Y54" s="9">
        <v>0.65900000000000003</v>
      </c>
      <c r="Z54" s="9" t="str">
        <f t="shared" si="3"/>
        <v/>
      </c>
      <c r="AA54" s="9"/>
      <c r="AB54" s="9" t="str">
        <f t="shared" si="3"/>
        <v/>
      </c>
      <c r="AC54" s="9"/>
      <c r="AD54" s="9" t="str">
        <f t="shared" si="3"/>
        <v/>
      </c>
    </row>
    <row r="55" spans="1:30" x14ac:dyDescent="0.25">
      <c r="B55" s="9">
        <v>0</v>
      </c>
      <c r="C55" s="9" t="str">
        <f t="shared" si="0"/>
        <v/>
      </c>
      <c r="D55" s="9"/>
      <c r="E55" s="9">
        <v>0</v>
      </c>
      <c r="F55" s="9" t="str">
        <f t="shared" si="0"/>
        <v/>
      </c>
      <c r="G55" s="9"/>
      <c r="H55" s="9" t="str">
        <f t="shared" si="0"/>
        <v/>
      </c>
      <c r="I55" s="9"/>
      <c r="J55" s="9" t="str">
        <f t="shared" si="0"/>
        <v/>
      </c>
      <c r="K55" s="9"/>
      <c r="L55" s="9" t="str">
        <f t="shared" si="0"/>
        <v/>
      </c>
      <c r="M55" s="9"/>
      <c r="N55" s="9" t="str">
        <f t="shared" si="2"/>
        <v/>
      </c>
      <c r="O55" s="9">
        <v>8.7999999999999995E-2</v>
      </c>
      <c r="P55" s="9" t="str">
        <f t="shared" si="2"/>
        <v/>
      </c>
      <c r="Q55" s="9">
        <v>0</v>
      </c>
      <c r="R55" s="9" t="str">
        <f t="shared" si="2"/>
        <v/>
      </c>
      <c r="S55" s="9"/>
      <c r="T55" s="9" t="str">
        <f t="shared" si="2"/>
        <v/>
      </c>
      <c r="U55" s="9"/>
      <c r="V55" s="9" t="str">
        <f t="shared" si="2"/>
        <v/>
      </c>
      <c r="W55" s="9">
        <v>0</v>
      </c>
      <c r="X55" s="9" t="str">
        <f t="shared" si="3"/>
        <v/>
      </c>
      <c r="Y55" s="9">
        <v>0</v>
      </c>
      <c r="Z55" s="9" t="str">
        <f t="shared" si="3"/>
        <v/>
      </c>
      <c r="AA55" s="9"/>
      <c r="AB55" s="9" t="str">
        <f t="shared" si="3"/>
        <v/>
      </c>
      <c r="AC55" s="9"/>
      <c r="AD55" s="9" t="str">
        <f t="shared" si="3"/>
        <v/>
      </c>
    </row>
    <row r="56" spans="1:30" x14ac:dyDescent="0.25">
      <c r="A56" t="s">
        <v>47</v>
      </c>
      <c r="B56" s="9">
        <v>6.9999999999999999E-4</v>
      </c>
      <c r="C56" s="9" t="str">
        <f t="shared" si="0"/>
        <v>***</v>
      </c>
      <c r="D56" s="9" t="str">
        <f>+CONCATENATE(ROUND(B56,3), " ",C56)</f>
        <v>0,001 ***</v>
      </c>
      <c r="E56" s="9">
        <v>5.0000000000000001E-4</v>
      </c>
      <c r="F56" s="9" t="str">
        <f t="shared" si="0"/>
        <v>***</v>
      </c>
      <c r="G56" s="9"/>
      <c r="H56" s="9" t="str">
        <f t="shared" si="0"/>
        <v>***</v>
      </c>
      <c r="I56" s="9"/>
      <c r="J56" s="9" t="str">
        <f t="shared" si="0"/>
        <v>***</v>
      </c>
      <c r="K56" s="9">
        <v>5.9999999999999995E-4</v>
      </c>
      <c r="L56" s="9" t="str">
        <f t="shared" si="0"/>
        <v>***</v>
      </c>
      <c r="M56" s="9">
        <v>4.0000000000000002E-4</v>
      </c>
      <c r="N56" s="9" t="str">
        <f t="shared" si="2"/>
        <v>**</v>
      </c>
      <c r="O56" s="9">
        <v>1.1999999999999999E-3</v>
      </c>
      <c r="P56" s="9" t="str">
        <f t="shared" si="2"/>
        <v>***</v>
      </c>
      <c r="Q56" s="9">
        <v>8.9999999999999998E-4</v>
      </c>
      <c r="R56" s="9" t="str">
        <f t="shared" si="2"/>
        <v>**</v>
      </c>
      <c r="S56" s="9"/>
      <c r="T56" s="9" t="str">
        <f t="shared" si="2"/>
        <v>***</v>
      </c>
      <c r="U56" s="9"/>
      <c r="V56" s="9" t="str">
        <f t="shared" si="2"/>
        <v>***</v>
      </c>
      <c r="W56" s="9"/>
      <c r="X56" s="9" t="str">
        <f t="shared" si="3"/>
        <v>***</v>
      </c>
      <c r="Y56" s="9"/>
      <c r="Z56" s="9" t="str">
        <f t="shared" si="3"/>
        <v>***</v>
      </c>
      <c r="AA56" s="9"/>
      <c r="AB56" s="9" t="str">
        <f t="shared" si="3"/>
        <v>***</v>
      </c>
      <c r="AC56" s="9"/>
      <c r="AD56" s="9" t="str">
        <f t="shared" si="3"/>
        <v>***</v>
      </c>
    </row>
    <row r="57" spans="1:30" x14ac:dyDescent="0.25">
      <c r="B57" s="9">
        <v>0</v>
      </c>
      <c r="C57" s="9" t="str">
        <f t="shared" si="0"/>
        <v/>
      </c>
      <c r="D57" s="9" t="str">
        <f>+CONCATENATE("(",ROUND(B57,3),")")</f>
        <v>(0)</v>
      </c>
      <c r="E57" s="9">
        <v>0</v>
      </c>
      <c r="F57" s="9" t="str">
        <f t="shared" si="0"/>
        <v/>
      </c>
      <c r="G57" s="9"/>
      <c r="H57" s="9" t="str">
        <f t="shared" si="0"/>
        <v/>
      </c>
      <c r="I57" s="9"/>
      <c r="J57" s="9" t="str">
        <f t="shared" si="0"/>
        <v/>
      </c>
      <c r="K57" s="9">
        <v>0</v>
      </c>
      <c r="L57" s="9" t="str">
        <f t="shared" si="0"/>
        <v/>
      </c>
      <c r="M57" s="9">
        <v>0</v>
      </c>
      <c r="N57" s="9" t="str">
        <f t="shared" si="2"/>
        <v/>
      </c>
      <c r="O57" s="9">
        <v>0</v>
      </c>
      <c r="P57" s="9" t="str">
        <f t="shared" si="2"/>
        <v/>
      </c>
      <c r="Q57" s="9">
        <v>0</v>
      </c>
      <c r="R57" s="9" t="str">
        <f t="shared" si="2"/>
        <v/>
      </c>
      <c r="S57" s="9"/>
      <c r="T57" s="9" t="str">
        <f t="shared" si="2"/>
        <v/>
      </c>
      <c r="U57" s="9"/>
      <c r="V57" s="9" t="str">
        <f t="shared" si="2"/>
        <v/>
      </c>
      <c r="W57" s="9"/>
      <c r="X57" s="9" t="str">
        <f t="shared" si="3"/>
        <v/>
      </c>
      <c r="Y57" s="9"/>
      <c r="Z57" s="9" t="str">
        <f t="shared" si="3"/>
        <v/>
      </c>
      <c r="AA57" s="9"/>
      <c r="AB57" s="9" t="str">
        <f t="shared" si="3"/>
        <v/>
      </c>
      <c r="AC57" s="9"/>
      <c r="AD57" s="9" t="str">
        <f t="shared" si="3"/>
        <v/>
      </c>
    </row>
    <row r="58" spans="1:30" x14ac:dyDescent="0.25">
      <c r="A58" s="3"/>
      <c r="B58" s="10">
        <v>0</v>
      </c>
      <c r="C58" s="9" t="str">
        <f t="shared" si="0"/>
        <v/>
      </c>
      <c r="D58" s="9"/>
      <c r="E58" s="10">
        <v>0</v>
      </c>
      <c r="F58" s="9" t="str">
        <f t="shared" si="0"/>
        <v/>
      </c>
      <c r="G58" s="10"/>
      <c r="H58" s="9" t="str">
        <f t="shared" si="0"/>
        <v/>
      </c>
      <c r="I58" s="10"/>
      <c r="J58" s="9" t="str">
        <f t="shared" si="0"/>
        <v/>
      </c>
      <c r="K58" s="10">
        <v>3.0000000000000001E-3</v>
      </c>
      <c r="L58" s="9" t="str">
        <f t="shared" si="0"/>
        <v/>
      </c>
      <c r="M58" s="10">
        <v>1.2999999999999999E-2</v>
      </c>
      <c r="N58" s="9" t="str">
        <f t="shared" si="2"/>
        <v/>
      </c>
      <c r="O58" s="10">
        <v>4.0000000000000001E-3</v>
      </c>
      <c r="P58" s="9" t="str">
        <f t="shared" si="2"/>
        <v/>
      </c>
      <c r="Q58" s="10">
        <v>0.01</v>
      </c>
      <c r="R58" s="9" t="str">
        <f t="shared" si="2"/>
        <v/>
      </c>
      <c r="S58" s="10"/>
      <c r="T58" s="9" t="str">
        <f t="shared" si="2"/>
        <v/>
      </c>
      <c r="U58" s="10"/>
      <c r="V58" s="9" t="str">
        <f t="shared" si="2"/>
        <v/>
      </c>
      <c r="W58" s="10"/>
      <c r="X58" s="9" t="str">
        <f t="shared" si="3"/>
        <v/>
      </c>
      <c r="Y58" s="10"/>
      <c r="Z58" s="9" t="str">
        <f t="shared" si="3"/>
        <v/>
      </c>
      <c r="AA58" s="10"/>
      <c r="AB58" s="9" t="str">
        <f t="shared" si="3"/>
        <v/>
      </c>
      <c r="AC58" s="10"/>
      <c r="AD58" s="9" t="str">
        <f t="shared" si="3"/>
        <v/>
      </c>
    </row>
    <row r="59" spans="1:3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5">
      <c r="A60" s="2" t="s">
        <v>21</v>
      </c>
      <c r="B60" s="4" t="s">
        <v>22</v>
      </c>
      <c r="C60" s="4"/>
      <c r="D60" s="4"/>
      <c r="E60" s="4" t="s">
        <v>23</v>
      </c>
      <c r="F60" s="4"/>
      <c r="G60" s="4" t="s">
        <v>22</v>
      </c>
      <c r="H60" s="4"/>
      <c r="I60" s="4" t="s">
        <v>23</v>
      </c>
      <c r="J60" s="4"/>
      <c r="K60" s="4" t="s">
        <v>22</v>
      </c>
      <c r="L60" s="4"/>
      <c r="M60" s="4" t="s">
        <v>23</v>
      </c>
      <c r="N60" s="4"/>
      <c r="O60" s="4" t="s">
        <v>22</v>
      </c>
      <c r="P60" s="4"/>
      <c r="Q60" s="4" t="s">
        <v>23</v>
      </c>
      <c r="R60" s="4"/>
      <c r="S60" s="4" t="s">
        <v>22</v>
      </c>
      <c r="T60" s="4"/>
      <c r="U60" s="4" t="s">
        <v>23</v>
      </c>
      <c r="V60" s="4"/>
      <c r="W60" s="4" t="s">
        <v>22</v>
      </c>
      <c r="X60" s="4"/>
      <c r="Y60" s="4" t="s">
        <v>23</v>
      </c>
      <c r="Z60" s="4"/>
      <c r="AA60" s="4" t="s">
        <v>22</v>
      </c>
      <c r="AB60" s="4"/>
      <c r="AC60" s="4" t="s">
        <v>23</v>
      </c>
      <c r="AD60" s="4"/>
    </row>
    <row r="61" spans="1:3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5">
      <c r="A62" t="s">
        <v>24</v>
      </c>
      <c r="B62" s="5">
        <v>351.63</v>
      </c>
      <c r="C62" s="5"/>
      <c r="D62" s="5"/>
      <c r="E62" s="5">
        <v>63.76</v>
      </c>
      <c r="F62" s="5"/>
      <c r="G62" s="5">
        <v>102.11</v>
      </c>
      <c r="H62" s="5"/>
      <c r="I62" s="5">
        <v>65.61</v>
      </c>
      <c r="J62" s="5"/>
      <c r="K62" s="5">
        <v>58.44</v>
      </c>
      <c r="L62" s="5"/>
      <c r="M62" s="5">
        <v>9.1</v>
      </c>
      <c r="N62" s="5"/>
      <c r="O62" s="5">
        <v>46.05</v>
      </c>
      <c r="P62" s="5"/>
      <c r="Q62" s="5">
        <v>10.28</v>
      </c>
      <c r="R62" s="5"/>
      <c r="S62" s="5">
        <v>39.61</v>
      </c>
      <c r="T62" s="5"/>
      <c r="U62" s="5">
        <v>60.2</v>
      </c>
      <c r="V62" s="5"/>
      <c r="W62" s="5">
        <v>561.49</v>
      </c>
      <c r="X62" s="5"/>
      <c r="Y62" s="5">
        <v>15.17</v>
      </c>
      <c r="Z62" s="5"/>
      <c r="AA62" s="5">
        <v>65.83</v>
      </c>
      <c r="AB62" s="5"/>
      <c r="AC62" s="5">
        <v>54.46</v>
      </c>
      <c r="AD62" s="5"/>
    </row>
    <row r="63" spans="1:30" x14ac:dyDescent="0.25">
      <c r="A63" t="s">
        <v>25</v>
      </c>
      <c r="B63" s="5">
        <v>2736.58</v>
      </c>
      <c r="C63" s="5"/>
      <c r="D63" s="5"/>
      <c r="E63" s="5">
        <v>201.67</v>
      </c>
      <c r="F63" s="5"/>
      <c r="G63" s="5">
        <v>261.98</v>
      </c>
      <c r="H63" s="5"/>
      <c r="I63" s="5">
        <v>187.8</v>
      </c>
      <c r="J63" s="5"/>
      <c r="K63" s="5">
        <v>230.43</v>
      </c>
      <c r="L63" s="5"/>
      <c r="M63" s="5">
        <v>21.43</v>
      </c>
      <c r="N63" s="5"/>
      <c r="O63" s="5">
        <v>220.3</v>
      </c>
      <c r="P63" s="5"/>
      <c r="Q63" s="5">
        <v>30.21</v>
      </c>
      <c r="R63" s="5"/>
      <c r="S63" s="5">
        <v>162.41999999999999</v>
      </c>
      <c r="T63" s="5"/>
      <c r="U63" s="5">
        <v>190.74</v>
      </c>
      <c r="V63" s="5"/>
      <c r="W63" s="5">
        <v>2540.7800000000002</v>
      </c>
      <c r="X63" s="5"/>
      <c r="Y63" s="5">
        <v>192.84</v>
      </c>
      <c r="Z63" s="5"/>
      <c r="AA63" s="5">
        <v>226.45</v>
      </c>
      <c r="AB63" s="5"/>
      <c r="AC63" s="5">
        <v>150.86000000000001</v>
      </c>
      <c r="AD63" s="5"/>
    </row>
    <row r="64" spans="1:30" x14ac:dyDescent="0.25">
      <c r="A64" t="s">
        <v>26</v>
      </c>
      <c r="B64" s="6">
        <v>0.6470588235294118</v>
      </c>
      <c r="C64" s="6"/>
      <c r="D64" s="6"/>
      <c r="E64" s="6">
        <v>0.7142857142857143</v>
      </c>
      <c r="F64" s="6"/>
      <c r="G64" s="6">
        <v>0.75</v>
      </c>
      <c r="H64" s="6"/>
      <c r="I64" s="6">
        <v>0.81818181818181823</v>
      </c>
      <c r="J64" s="6"/>
      <c r="K64" s="6">
        <v>0.625</v>
      </c>
      <c r="L64" s="6"/>
      <c r="M64" s="6">
        <v>0.69696969696969702</v>
      </c>
      <c r="N64" s="6"/>
      <c r="O64" s="6">
        <v>0.63636363636363635</v>
      </c>
      <c r="P64" s="6"/>
      <c r="Q64" s="6">
        <v>0.66666666666666663</v>
      </c>
      <c r="R64" s="6"/>
      <c r="S64" s="6">
        <v>0.45454545454545447</v>
      </c>
      <c r="T64" s="6"/>
      <c r="U64" s="6">
        <v>0.75</v>
      </c>
      <c r="V64" s="6"/>
      <c r="W64" s="6">
        <v>0.77777777777777779</v>
      </c>
      <c r="X64" s="6"/>
      <c r="Y64" s="6">
        <v>0.23529411764705879</v>
      </c>
      <c r="Z64" s="6"/>
      <c r="AA64" s="6">
        <v>0.5714285714285714</v>
      </c>
      <c r="AB64" s="6"/>
      <c r="AC64" s="6">
        <v>0.8125</v>
      </c>
      <c r="AD64" s="6"/>
    </row>
    <row r="65" spans="1:30" x14ac:dyDescent="0.25">
      <c r="A65" s="3" t="s">
        <v>27</v>
      </c>
      <c r="B65" s="7">
        <v>0.23529411764705879</v>
      </c>
      <c r="C65" s="7"/>
      <c r="D65" s="7"/>
      <c r="E65" s="7">
        <v>0.5</v>
      </c>
      <c r="F65" s="7"/>
      <c r="G65" s="7">
        <v>0.5</v>
      </c>
      <c r="H65" s="7"/>
      <c r="I65" s="7">
        <v>0.48484848484848492</v>
      </c>
      <c r="J65" s="7"/>
      <c r="K65" s="7">
        <v>0.25</v>
      </c>
      <c r="L65" s="7"/>
      <c r="M65" s="7">
        <v>0.51515151515151514</v>
      </c>
      <c r="N65" s="7"/>
      <c r="O65" s="7">
        <v>0.27272727272727271</v>
      </c>
      <c r="P65" s="7"/>
      <c r="Q65" s="7">
        <v>0.5</v>
      </c>
      <c r="R65" s="7"/>
      <c r="S65" s="7">
        <v>0.36363636363636359</v>
      </c>
      <c r="T65" s="7"/>
      <c r="U65" s="7">
        <v>0.52777777777777779</v>
      </c>
      <c r="V65" s="7"/>
      <c r="W65" s="7">
        <v>0.22222222222222221</v>
      </c>
      <c r="X65" s="7"/>
      <c r="Y65" s="7">
        <v>0.1470588235294118</v>
      </c>
      <c r="Z65" s="7"/>
      <c r="AA65" s="7">
        <v>0.2857142857142857</v>
      </c>
      <c r="AB65" s="7"/>
      <c r="AC65" s="7">
        <v>0.5</v>
      </c>
      <c r="AD65" s="7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D65"/>
  <sheetViews>
    <sheetView workbookViewId="0">
      <selection activeCell="D1" sqref="D1:D1048576"/>
    </sheetView>
  </sheetViews>
  <sheetFormatPr baseColWidth="10" defaultColWidth="9.140625" defaultRowHeight="15" x14ac:dyDescent="0.25"/>
  <cols>
    <col min="1" max="1" width="76.85546875" bestFit="1" customWidth="1"/>
    <col min="3" max="4" width="10.7109375" customWidth="1"/>
    <col min="6" max="6" width="10.7109375" customWidth="1"/>
    <col min="8" max="8" width="10.7109375" customWidth="1"/>
    <col min="10" max="10" width="10.7109375" customWidth="1"/>
    <col min="12" max="12" width="10.7109375" customWidth="1"/>
    <col min="14" max="14" width="10.7109375" customWidth="1"/>
    <col min="16" max="16" width="10.7109375" customWidth="1"/>
    <col min="18" max="18" width="10.7109375" customWidth="1"/>
    <col min="20" max="20" width="10.7109375" customWidth="1"/>
    <col min="22" max="22" width="10.7109375" customWidth="1"/>
    <col min="24" max="24" width="10.7109375" customWidth="1"/>
    <col min="26" max="26" width="10.7109375" customWidth="1"/>
    <col min="28" max="28" width="10.7109375" customWidth="1"/>
    <col min="30" max="30" width="10.7109375" customWidth="1"/>
  </cols>
  <sheetData>
    <row r="1" spans="1:30" x14ac:dyDescent="0.25">
      <c r="A1" s="12" t="s">
        <v>0</v>
      </c>
      <c r="B1" s="1" t="s">
        <v>1</v>
      </c>
      <c r="C1" s="1"/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  <c r="M1" s="1" t="s">
        <v>6</v>
      </c>
      <c r="N1" s="1"/>
      <c r="O1" s="1" t="s">
        <v>7</v>
      </c>
      <c r="P1" s="1"/>
      <c r="Q1" s="1" t="s">
        <v>8</v>
      </c>
      <c r="R1" s="1"/>
      <c r="S1" s="1" t="s">
        <v>9</v>
      </c>
      <c r="T1" s="1"/>
      <c r="U1" s="1" t="s">
        <v>10</v>
      </c>
      <c r="V1" s="1"/>
      <c r="W1" s="1" t="s">
        <v>11</v>
      </c>
      <c r="X1" s="1"/>
      <c r="Y1" s="1" t="s">
        <v>12</v>
      </c>
      <c r="Z1" s="1"/>
      <c r="AA1" s="1" t="s">
        <v>13</v>
      </c>
      <c r="AB1" s="1"/>
      <c r="AC1" s="1" t="s">
        <v>14</v>
      </c>
      <c r="AD1" s="1"/>
    </row>
    <row r="2" spans="1:30" x14ac:dyDescent="0.25">
      <c r="A2" s="2" t="s">
        <v>15</v>
      </c>
      <c r="B2" s="4" t="s">
        <v>29</v>
      </c>
      <c r="C2" s="4"/>
      <c r="D2" s="4"/>
      <c r="E2" s="4" t="s">
        <v>29</v>
      </c>
      <c r="F2" s="4"/>
      <c r="G2" s="4" t="s">
        <v>29</v>
      </c>
      <c r="H2" s="4"/>
      <c r="I2" s="4" t="s">
        <v>29</v>
      </c>
      <c r="J2" s="4"/>
      <c r="K2" s="4" t="s">
        <v>29</v>
      </c>
      <c r="L2" s="4"/>
      <c r="M2" s="4" t="s">
        <v>29</v>
      </c>
      <c r="N2" s="4"/>
      <c r="O2" s="4" t="s">
        <v>29</v>
      </c>
      <c r="P2" s="4"/>
      <c r="Q2" s="4" t="s">
        <v>29</v>
      </c>
      <c r="R2" s="4"/>
      <c r="S2" s="4" t="s">
        <v>29</v>
      </c>
      <c r="T2" s="4"/>
      <c r="U2" s="4" t="s">
        <v>29</v>
      </c>
      <c r="V2" s="4"/>
      <c r="W2" s="4" t="s">
        <v>29</v>
      </c>
      <c r="X2" s="4"/>
      <c r="Y2" s="4" t="s">
        <v>29</v>
      </c>
      <c r="Z2" s="4"/>
      <c r="AA2" s="4" t="s">
        <v>29</v>
      </c>
      <c r="AB2" s="4"/>
      <c r="AC2" s="4" t="s">
        <v>29</v>
      </c>
      <c r="AD2" s="4"/>
    </row>
    <row r="3" spans="1:3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t="s">
        <v>17</v>
      </c>
      <c r="B4" s="8" t="s">
        <v>30</v>
      </c>
      <c r="C4" s="8"/>
      <c r="D4" s="8"/>
      <c r="E4" s="8" t="s">
        <v>30</v>
      </c>
      <c r="F4" s="8"/>
      <c r="G4" s="8" t="s">
        <v>30</v>
      </c>
      <c r="H4" s="8"/>
      <c r="I4" s="8" t="s">
        <v>30</v>
      </c>
      <c r="J4" s="8"/>
      <c r="K4" s="8" t="s">
        <v>30</v>
      </c>
      <c r="L4" s="8"/>
      <c r="M4" s="8" t="s">
        <v>30</v>
      </c>
      <c r="N4" s="8"/>
      <c r="O4" s="8" t="s">
        <v>30</v>
      </c>
      <c r="P4" s="8"/>
      <c r="Q4" s="8" t="s">
        <v>30</v>
      </c>
      <c r="R4" s="8"/>
      <c r="S4" s="8" t="s">
        <v>30</v>
      </c>
      <c r="T4" s="8"/>
      <c r="U4" s="8" t="s">
        <v>30</v>
      </c>
      <c r="V4" s="8"/>
      <c r="W4" s="8" t="s">
        <v>30</v>
      </c>
      <c r="X4" s="8"/>
      <c r="Y4" s="8" t="s">
        <v>30</v>
      </c>
      <c r="Z4" s="8"/>
      <c r="AA4" s="8" t="s">
        <v>30</v>
      </c>
      <c r="AB4" s="8"/>
      <c r="AC4" s="8" t="s">
        <v>30</v>
      </c>
      <c r="AD4" s="8"/>
    </row>
    <row r="5" spans="1:30" x14ac:dyDescent="0.25">
      <c r="A5" t="s">
        <v>19</v>
      </c>
      <c r="B5" s="6">
        <v>0.90500000000000003</v>
      </c>
      <c r="C5" s="6"/>
      <c r="D5" s="6"/>
      <c r="E5" s="6">
        <v>0.92400000000000004</v>
      </c>
      <c r="F5" s="6"/>
      <c r="G5" s="6">
        <v>0.88900000000000001</v>
      </c>
      <c r="H5" s="6"/>
      <c r="I5" s="6">
        <v>0.91</v>
      </c>
      <c r="J5" s="6"/>
      <c r="K5" s="6">
        <v>0.88900000000000001</v>
      </c>
      <c r="L5" s="6"/>
      <c r="M5" s="6">
        <v>0.90900000000000003</v>
      </c>
      <c r="N5" s="6"/>
      <c r="O5" s="6">
        <v>0.57699999999999996</v>
      </c>
      <c r="P5" s="6"/>
      <c r="Q5" s="6">
        <v>0.72099999999999997</v>
      </c>
      <c r="R5" s="6"/>
      <c r="S5" s="6">
        <v>0.59099999999999997</v>
      </c>
      <c r="T5" s="6"/>
      <c r="U5" s="6">
        <v>0.70699999999999996</v>
      </c>
      <c r="V5" s="6"/>
      <c r="W5" s="6">
        <v>0.9</v>
      </c>
      <c r="X5" s="6"/>
      <c r="Y5" s="6">
        <v>0.92100000000000004</v>
      </c>
      <c r="Z5" s="6"/>
      <c r="AA5" s="6">
        <v>0.89</v>
      </c>
      <c r="AB5" s="6"/>
      <c r="AC5" s="6">
        <v>0.90900000000000003</v>
      </c>
      <c r="AD5" s="6"/>
    </row>
    <row r="6" spans="1:30" x14ac:dyDescent="0.25">
      <c r="A6" s="3" t="s">
        <v>20</v>
      </c>
      <c r="B6" s="7">
        <v>0.90100000000000002</v>
      </c>
      <c r="C6" s="7"/>
      <c r="D6" s="7"/>
      <c r="E6" s="7">
        <v>0.91600000000000004</v>
      </c>
      <c r="F6" s="7"/>
      <c r="G6" s="7">
        <v>0.88800000000000001</v>
      </c>
      <c r="H6" s="7"/>
      <c r="I6" s="7">
        <v>0.90300000000000002</v>
      </c>
      <c r="J6" s="7"/>
      <c r="K6" s="7">
        <v>0.88700000000000001</v>
      </c>
      <c r="L6" s="7"/>
      <c r="M6" s="7">
        <v>0.90200000000000002</v>
      </c>
      <c r="N6" s="7"/>
      <c r="O6" s="7">
        <v>0.56599999999999995</v>
      </c>
      <c r="P6" s="7"/>
      <c r="Q6" s="7">
        <v>0.69599999999999995</v>
      </c>
      <c r="R6" s="7"/>
      <c r="S6" s="7">
        <v>0.58099999999999996</v>
      </c>
      <c r="T6" s="7"/>
      <c r="U6" s="7">
        <v>0.68200000000000005</v>
      </c>
      <c r="V6" s="7"/>
      <c r="W6" s="7">
        <v>0.89800000000000002</v>
      </c>
      <c r="X6" s="7"/>
      <c r="Y6" s="7">
        <v>0.91400000000000003</v>
      </c>
      <c r="Z6" s="7"/>
      <c r="AA6" s="7">
        <v>0.88800000000000001</v>
      </c>
      <c r="AB6" s="7"/>
      <c r="AC6" s="7">
        <v>0.90200000000000002</v>
      </c>
      <c r="AD6" s="7"/>
    </row>
    <row r="7" spans="1:3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13" t="s">
        <v>31</v>
      </c>
      <c r="B8" s="9">
        <v>-7.8100000000000003E-2</v>
      </c>
      <c r="C8" s="9" t="str">
        <f>+IF($A8&lt;&gt;"",IF(B10&lt;0.01,"***",IF(B10&lt;0.05,"**",IF(B10&lt;0.1,"*",""))),"")</f>
        <v>***</v>
      </c>
      <c r="D8" s="9" t="str">
        <f>+CONCATENATE(ROUND(B8,3), " ",C8)</f>
        <v>-0,078 ***</v>
      </c>
      <c r="E8" s="9">
        <v>-6.88E-2</v>
      </c>
      <c r="F8" s="9" t="str">
        <f>+IF($A8&lt;&gt;"",IF(E10&lt;0.01,"***",IF(E10&lt;0.05,"**",IF(E10&lt;0.1,"*",""))),"")</f>
        <v>***</v>
      </c>
      <c r="G8" s="9">
        <v>-8.0199999999999994E-2</v>
      </c>
      <c r="H8" s="9" t="str">
        <f>+IF($A8&lt;&gt;"",IF(G10&lt;0.01,"***",IF(G10&lt;0.05,"**",IF(G10&lt;0.1,"*",""))),"")</f>
        <v>***</v>
      </c>
      <c r="I8" s="9">
        <v>-6.9000000000000006E-2</v>
      </c>
      <c r="J8" s="9" t="str">
        <f>+IF($A8&lt;&gt;"",IF(I10&lt;0.01,"***",IF(I10&lt;0.05,"**",IF(I10&lt;0.1,"*",""))),"")</f>
        <v>***</v>
      </c>
      <c r="K8" s="9">
        <v>-4.0800000000000003E-2</v>
      </c>
      <c r="L8" s="9" t="str">
        <f>+IF($A8&lt;&gt;"",IF(K10&lt;0.01,"***",IF(K10&lt;0.05,"**",IF(K10&lt;0.1,"*",""))),"")</f>
        <v>***</v>
      </c>
      <c r="M8" s="9">
        <v>-3.9199999999999999E-2</v>
      </c>
      <c r="N8" s="9" t="str">
        <f>+IF($A8&lt;&gt;"",IF(M10&lt;0.01,"***",IF(M10&lt;0.05,"**",IF(M10&lt;0.1,"*",""))),"")</f>
        <v>***</v>
      </c>
      <c r="O8" s="9">
        <v>1.2500000000000001E-2</v>
      </c>
      <c r="P8" s="9" t="str">
        <f>+IF($A8&lt;&gt;"",IF(O10&lt;0.01,"***",IF(O10&lt;0.05,"**",IF(O10&lt;0.1,"*",""))),"")</f>
        <v/>
      </c>
      <c r="Q8" s="9">
        <v>5.1999999999999998E-3</v>
      </c>
      <c r="R8" s="9" t="str">
        <f>+IF($A8&lt;&gt;"",IF(Q10&lt;0.01,"***",IF(Q10&lt;0.05,"**",IF(Q10&lt;0.1,"*",""))),"")</f>
        <v/>
      </c>
      <c r="S8" s="9">
        <v>-0.1298</v>
      </c>
      <c r="T8" s="9" t="str">
        <f>+IF($A8&lt;&gt;"",IF(S10&lt;0.01,"***",IF(S10&lt;0.05,"**",IF(S10&lt;0.1,"*",""))),"")</f>
        <v>***</v>
      </c>
      <c r="U8" s="9">
        <v>-7.2700000000000001E-2</v>
      </c>
      <c r="V8" s="9" t="str">
        <f>+IF($A8&lt;&gt;"",IF(U10&lt;0.01,"***",IF(U10&lt;0.05,"**",IF(U10&lt;0.1,"*",""))),"")</f>
        <v>***</v>
      </c>
      <c r="W8" s="9">
        <v>-4.3099999999999999E-2</v>
      </c>
      <c r="X8" s="9" t="str">
        <f>+IF($A8&lt;&gt;"",IF(W10&lt;0.01,"***",IF(W10&lt;0.05,"**",IF(W10&lt;0.1,"*",""))),"")</f>
        <v>***</v>
      </c>
      <c r="Y8" s="9">
        <v>-4.1300000000000003E-2</v>
      </c>
      <c r="Z8" s="9" t="str">
        <f>+IF($A8&lt;&gt;"",IF(Y10&lt;0.01,"***",IF(Y10&lt;0.05,"**",IF(Y10&lt;0.1,"*",""))),"")</f>
        <v>***</v>
      </c>
      <c r="AA8" s="9">
        <v>-7.7200000000000005E-2</v>
      </c>
      <c r="AB8" s="9" t="str">
        <f>+IF($A8&lt;&gt;"",IF(AA10&lt;0.01,"***",IF(AA10&lt;0.05,"**",IF(AA10&lt;0.1,"*",""))),"")</f>
        <v>***</v>
      </c>
      <c r="AC8" s="9">
        <v>-6.7699999999999996E-2</v>
      </c>
      <c r="AD8" s="9" t="str">
        <f>+IF($A8&lt;&gt;"",IF(AC10&lt;0.01,"***",IF(AC10&lt;0.05,"**",IF(AC10&lt;0.1,"*",""))),"")</f>
        <v>***</v>
      </c>
    </row>
    <row r="9" spans="1:30" x14ac:dyDescent="0.25">
      <c r="A9" s="14"/>
      <c r="B9" s="9">
        <v>1.4999999999999999E-2</v>
      </c>
      <c r="C9" s="9" t="str">
        <f t="shared" ref="C9:N58" si="0">+IF($A9&lt;&gt;"",IF(B11&lt;0.01,"***",IF(B11&lt;0.05,"**",IF(B11&lt;0.1,"*",""))),"")</f>
        <v/>
      </c>
      <c r="D9" s="9" t="str">
        <f>+CONCATENATE("(",ROUND(B9,3),")")</f>
        <v>(0,015)</v>
      </c>
      <c r="E9" s="9">
        <v>1.4E-2</v>
      </c>
      <c r="F9" s="9" t="str">
        <f t="shared" si="0"/>
        <v/>
      </c>
      <c r="G9" s="9">
        <v>1.6E-2</v>
      </c>
      <c r="H9" s="9" t="str">
        <f t="shared" si="0"/>
        <v/>
      </c>
      <c r="I9" s="9">
        <v>1.4999999999999999E-2</v>
      </c>
      <c r="J9" s="9" t="str">
        <f t="shared" si="0"/>
        <v/>
      </c>
      <c r="K9" s="9">
        <v>5.0000000000000001E-3</v>
      </c>
      <c r="L9" s="9" t="str">
        <f t="shared" si="0"/>
        <v/>
      </c>
      <c r="M9" s="9">
        <v>5.0000000000000001E-3</v>
      </c>
      <c r="N9" s="9" t="str">
        <f t="shared" si="0"/>
        <v/>
      </c>
      <c r="O9" s="9">
        <v>1.0999999999999999E-2</v>
      </c>
      <c r="P9" s="9" t="str">
        <f t="shared" ref="P9:AD43" si="1">+IF($A9&lt;&gt;"",IF(O11&lt;0.01,"***",IF(O11&lt;0.05,"**",IF(O11&lt;0.1,"*",""))),"")</f>
        <v/>
      </c>
      <c r="Q9" s="9">
        <v>8.9999999999999993E-3</v>
      </c>
      <c r="R9" s="9" t="str">
        <f t="shared" si="1"/>
        <v/>
      </c>
      <c r="S9" s="9">
        <v>3.1E-2</v>
      </c>
      <c r="T9" s="9" t="str">
        <f t="shared" si="1"/>
        <v/>
      </c>
      <c r="U9" s="9">
        <v>2.8000000000000001E-2</v>
      </c>
      <c r="V9" s="9" t="str">
        <f t="shared" si="1"/>
        <v/>
      </c>
      <c r="W9" s="9">
        <v>2E-3</v>
      </c>
      <c r="X9" s="9" t="str">
        <f t="shared" si="1"/>
        <v/>
      </c>
      <c r="Y9" s="9">
        <v>2E-3</v>
      </c>
      <c r="Z9" s="9" t="str">
        <f t="shared" si="1"/>
        <v/>
      </c>
      <c r="AA9" s="9">
        <v>1.4E-2</v>
      </c>
      <c r="AB9" s="9" t="str">
        <f t="shared" si="1"/>
        <v/>
      </c>
      <c r="AC9" s="9">
        <v>1.4E-2</v>
      </c>
      <c r="AD9" s="9" t="str">
        <f t="shared" si="1"/>
        <v/>
      </c>
    </row>
    <row r="10" spans="1:30" x14ac:dyDescent="0.25">
      <c r="A10" s="14"/>
      <c r="B10" s="9">
        <v>0</v>
      </c>
      <c r="C10" s="9" t="str">
        <f t="shared" si="0"/>
        <v/>
      </c>
      <c r="D10" s="9"/>
      <c r="E10" s="9">
        <v>0</v>
      </c>
      <c r="F10" s="9" t="str">
        <f t="shared" si="0"/>
        <v/>
      </c>
      <c r="G10" s="9">
        <v>0</v>
      </c>
      <c r="H10" s="9" t="str">
        <f t="shared" si="0"/>
        <v/>
      </c>
      <c r="I10" s="9">
        <v>0</v>
      </c>
      <c r="J10" s="9" t="str">
        <f t="shared" si="0"/>
        <v/>
      </c>
      <c r="K10" s="9">
        <v>0</v>
      </c>
      <c r="L10" s="9" t="str">
        <f t="shared" si="0"/>
        <v/>
      </c>
      <c r="M10" s="9">
        <v>0</v>
      </c>
      <c r="N10" s="9" t="str">
        <f t="shared" si="0"/>
        <v/>
      </c>
      <c r="O10" s="9">
        <v>0.24299999999999999</v>
      </c>
      <c r="P10" s="9" t="str">
        <f t="shared" si="1"/>
        <v/>
      </c>
      <c r="Q10" s="9">
        <v>0.57799999999999996</v>
      </c>
      <c r="R10" s="9" t="str">
        <f t="shared" si="1"/>
        <v/>
      </c>
      <c r="S10" s="9">
        <v>0</v>
      </c>
      <c r="T10" s="9" t="str">
        <f t="shared" si="1"/>
        <v/>
      </c>
      <c r="U10" s="9">
        <v>8.9999999999999993E-3</v>
      </c>
      <c r="V10" s="9" t="str">
        <f t="shared" si="1"/>
        <v/>
      </c>
      <c r="W10" s="9">
        <v>0</v>
      </c>
      <c r="X10" s="9" t="str">
        <f t="shared" si="1"/>
        <v/>
      </c>
      <c r="Y10" s="9">
        <v>0</v>
      </c>
      <c r="Z10" s="9" t="str">
        <f t="shared" si="1"/>
        <v/>
      </c>
      <c r="AA10" s="9">
        <v>0</v>
      </c>
      <c r="AB10" s="9" t="str">
        <f t="shared" si="1"/>
        <v/>
      </c>
      <c r="AC10" s="9">
        <v>0</v>
      </c>
      <c r="AD10" s="9" t="str">
        <f t="shared" si="1"/>
        <v/>
      </c>
    </row>
    <row r="11" spans="1:30" x14ac:dyDescent="0.25">
      <c r="A11" t="s">
        <v>32</v>
      </c>
      <c r="B11" s="9">
        <v>-2.0169999999999999E-6</v>
      </c>
      <c r="C11" s="9" t="str">
        <f t="shared" si="0"/>
        <v/>
      </c>
      <c r="D11" s="9" t="str">
        <f>+CONCATENATE(ROUND(B11,3), " ",C11)</f>
        <v xml:space="preserve">0 </v>
      </c>
      <c r="E11" s="9">
        <v>3.3380000000000001E-6</v>
      </c>
      <c r="F11" s="9" t="str">
        <f t="shared" si="0"/>
        <v/>
      </c>
      <c r="G11" s="9">
        <v>-1.387E-6</v>
      </c>
      <c r="H11" s="9" t="str">
        <f t="shared" si="0"/>
        <v/>
      </c>
      <c r="I11" s="9">
        <v>5.5459999999999999E-6</v>
      </c>
      <c r="J11" s="9" t="str">
        <f t="shared" si="0"/>
        <v/>
      </c>
      <c r="K11" s="9">
        <v>-6.1490000000000003E-7</v>
      </c>
      <c r="L11" s="9" t="str">
        <f t="shared" si="0"/>
        <v/>
      </c>
      <c r="M11" s="9">
        <v>6.7469999999999999E-6</v>
      </c>
      <c r="N11" s="9" t="str">
        <f t="shared" si="0"/>
        <v/>
      </c>
      <c r="O11" s="9">
        <v>2.2650000000000002E-5</v>
      </c>
      <c r="P11" s="9" t="str">
        <f t="shared" si="1"/>
        <v>**</v>
      </c>
      <c r="Q11" s="9">
        <v>2.9879999999999999E-5</v>
      </c>
      <c r="R11" s="9" t="str">
        <f t="shared" si="1"/>
        <v>***</v>
      </c>
      <c r="S11" s="9"/>
      <c r="T11" s="9" t="str">
        <f t="shared" si="1"/>
        <v>***</v>
      </c>
      <c r="U11" s="9"/>
      <c r="V11" s="9" t="str">
        <f t="shared" si="1"/>
        <v>***</v>
      </c>
      <c r="W11" s="9">
        <v>1.511E-7</v>
      </c>
      <c r="X11" s="9" t="str">
        <f t="shared" si="1"/>
        <v/>
      </c>
      <c r="Y11" s="9">
        <v>4.8960000000000002E-6</v>
      </c>
      <c r="Z11" s="9" t="str">
        <f t="shared" si="1"/>
        <v/>
      </c>
      <c r="AA11" s="9"/>
      <c r="AB11" s="9" t="str">
        <f t="shared" si="1"/>
        <v>***</v>
      </c>
      <c r="AC11" s="9"/>
      <c r="AD11" s="9" t="str">
        <f t="shared" si="1"/>
        <v>***</v>
      </c>
    </row>
    <row r="12" spans="1:30" x14ac:dyDescent="0.25">
      <c r="B12" s="9">
        <v>4.2799999999999997E-6</v>
      </c>
      <c r="C12" s="9" t="str">
        <f t="shared" si="0"/>
        <v/>
      </c>
      <c r="D12" s="9" t="str">
        <f>+CONCATENATE("(",ROUND(B12,3),")")</f>
        <v>(0)</v>
      </c>
      <c r="E12" s="9">
        <v>4.2699999999999998E-6</v>
      </c>
      <c r="F12" s="9" t="str">
        <f t="shared" si="0"/>
        <v/>
      </c>
      <c r="G12" s="9">
        <v>4.4499999999999997E-6</v>
      </c>
      <c r="H12" s="9" t="str">
        <f t="shared" si="0"/>
        <v/>
      </c>
      <c r="I12" s="9">
        <v>4.4900000000000002E-6</v>
      </c>
      <c r="J12" s="9" t="str">
        <f t="shared" si="0"/>
        <v/>
      </c>
      <c r="K12" s="9">
        <v>4.3599999999999998E-6</v>
      </c>
      <c r="L12" s="9" t="str">
        <f t="shared" si="0"/>
        <v/>
      </c>
      <c r="M12" s="9">
        <v>4.4599999999999996E-6</v>
      </c>
      <c r="N12" s="9" t="str">
        <f t="shared" si="0"/>
        <v/>
      </c>
      <c r="O12" s="9">
        <v>8.7900000000000005E-6</v>
      </c>
      <c r="P12" s="9" t="str">
        <f t="shared" si="1"/>
        <v/>
      </c>
      <c r="Q12" s="9">
        <v>7.8699999999999992E-6</v>
      </c>
      <c r="R12" s="9" t="str">
        <f t="shared" si="1"/>
        <v/>
      </c>
      <c r="S12" s="9"/>
      <c r="T12" s="9" t="str">
        <f t="shared" si="1"/>
        <v/>
      </c>
      <c r="U12" s="9"/>
      <c r="V12" s="9" t="str">
        <f t="shared" si="1"/>
        <v/>
      </c>
      <c r="W12" s="9">
        <v>4.1899999999999997E-6</v>
      </c>
      <c r="X12" s="9" t="str">
        <f t="shared" si="1"/>
        <v/>
      </c>
      <c r="Y12" s="9">
        <v>4.16E-6</v>
      </c>
      <c r="Z12" s="9" t="str">
        <f t="shared" si="1"/>
        <v/>
      </c>
      <c r="AA12" s="9"/>
      <c r="AB12" s="9" t="str">
        <f t="shared" si="1"/>
        <v/>
      </c>
      <c r="AC12" s="9"/>
      <c r="AD12" s="9" t="str">
        <f t="shared" si="1"/>
        <v/>
      </c>
    </row>
    <row r="13" spans="1:30" x14ac:dyDescent="0.25">
      <c r="B13" s="9">
        <v>0.63800000000000001</v>
      </c>
      <c r="C13" s="9" t="str">
        <f t="shared" si="0"/>
        <v/>
      </c>
      <c r="D13" s="9"/>
      <c r="E13" s="9">
        <v>0.435</v>
      </c>
      <c r="F13" s="9" t="str">
        <f t="shared" si="0"/>
        <v/>
      </c>
      <c r="G13" s="9">
        <v>0.755</v>
      </c>
      <c r="H13" s="9" t="str">
        <f t="shared" si="0"/>
        <v/>
      </c>
      <c r="I13" s="9">
        <v>0.218</v>
      </c>
      <c r="J13" s="9" t="str">
        <f t="shared" si="0"/>
        <v/>
      </c>
      <c r="K13" s="9">
        <v>0.88800000000000001</v>
      </c>
      <c r="L13" s="9" t="str">
        <f t="shared" si="0"/>
        <v/>
      </c>
      <c r="M13" s="9">
        <v>0.13100000000000001</v>
      </c>
      <c r="N13" s="9" t="str">
        <f t="shared" si="0"/>
        <v/>
      </c>
      <c r="O13" s="9">
        <v>0.01</v>
      </c>
      <c r="P13" s="9" t="str">
        <f t="shared" si="1"/>
        <v/>
      </c>
      <c r="Q13" s="9">
        <v>0</v>
      </c>
      <c r="R13" s="9" t="str">
        <f t="shared" si="1"/>
        <v/>
      </c>
      <c r="S13" s="9"/>
      <c r="T13" s="9" t="str">
        <f t="shared" si="1"/>
        <v/>
      </c>
      <c r="U13" s="9"/>
      <c r="V13" s="9" t="str">
        <f t="shared" si="1"/>
        <v/>
      </c>
      <c r="W13" s="9">
        <v>0.97099999999999997</v>
      </c>
      <c r="X13" s="9" t="str">
        <f t="shared" si="1"/>
        <v/>
      </c>
      <c r="Y13" s="9">
        <v>0.24</v>
      </c>
      <c r="Z13" s="9" t="str">
        <f t="shared" si="1"/>
        <v/>
      </c>
      <c r="AA13" s="9"/>
      <c r="AB13" s="9" t="str">
        <f t="shared" si="1"/>
        <v/>
      </c>
      <c r="AC13" s="9"/>
      <c r="AD13" s="9" t="str">
        <f t="shared" si="1"/>
        <v/>
      </c>
    </row>
    <row r="14" spans="1:30" x14ac:dyDescent="0.25">
      <c r="A14" t="s">
        <v>33</v>
      </c>
      <c r="B14" s="9">
        <v>3.926E-5</v>
      </c>
      <c r="C14" s="9" t="str">
        <f t="shared" si="0"/>
        <v>*</v>
      </c>
      <c r="D14" s="9" t="str">
        <f>+CONCATENATE(ROUND(B14,3), " ",C14)</f>
        <v>0 *</v>
      </c>
      <c r="E14" s="9">
        <v>3.5769999999999998E-5</v>
      </c>
      <c r="F14" s="9" t="str">
        <f t="shared" si="0"/>
        <v/>
      </c>
      <c r="G14" s="9"/>
      <c r="H14" s="9" t="str">
        <f t="shared" si="0"/>
        <v>***</v>
      </c>
      <c r="I14" s="9"/>
      <c r="J14" s="9" t="str">
        <f t="shared" si="0"/>
        <v>***</v>
      </c>
      <c r="K14" s="9">
        <v>3.9419999999999999E-5</v>
      </c>
      <c r="L14" s="9" t="str">
        <f t="shared" si="0"/>
        <v/>
      </c>
      <c r="M14" s="9">
        <v>2.8390000000000001E-5</v>
      </c>
      <c r="N14" s="9" t="str">
        <f t="shared" ref="N14:X58" si="2">+IF($A14&lt;&gt;"",IF(M16&lt;0.01,"***",IF(M16&lt;0.05,"**",IF(M16&lt;0.1,"*",""))),"")</f>
        <v/>
      </c>
      <c r="O14" s="9"/>
      <c r="P14" s="9" t="str">
        <f t="shared" si="2"/>
        <v>***</v>
      </c>
      <c r="Q14" s="9"/>
      <c r="R14" s="9" t="str">
        <f t="shared" si="2"/>
        <v>***</v>
      </c>
      <c r="S14" s="9">
        <v>9.9539999999999999E-5</v>
      </c>
      <c r="T14" s="9" t="str">
        <f t="shared" si="2"/>
        <v>**</v>
      </c>
      <c r="U14" s="9">
        <v>7.559E-5</v>
      </c>
      <c r="V14" s="9" t="str">
        <f t="shared" si="2"/>
        <v>*</v>
      </c>
      <c r="W14" s="9">
        <v>4.2519999999999999E-5</v>
      </c>
      <c r="X14" s="9" t="str">
        <f t="shared" si="2"/>
        <v>*</v>
      </c>
      <c r="Y14" s="9">
        <v>3.7750000000000003E-5</v>
      </c>
      <c r="Z14" s="9" t="str">
        <f t="shared" si="1"/>
        <v>*</v>
      </c>
      <c r="AA14" s="9">
        <v>3.2509999999999999E-5</v>
      </c>
      <c r="AB14" s="9" t="str">
        <f t="shared" si="1"/>
        <v/>
      </c>
      <c r="AC14" s="9">
        <v>2.2940000000000001E-5</v>
      </c>
      <c r="AD14" s="9" t="str">
        <f t="shared" si="1"/>
        <v/>
      </c>
    </row>
    <row r="15" spans="1:30" x14ac:dyDescent="0.25">
      <c r="B15" s="9">
        <v>2.3E-5</v>
      </c>
      <c r="C15" s="9" t="str">
        <f t="shared" si="0"/>
        <v/>
      </c>
      <c r="D15" s="9" t="str">
        <f>+CONCATENATE("(",ROUND(B15,3),")")</f>
        <v>(0)</v>
      </c>
      <c r="E15" s="9">
        <v>2.2500000000000001E-5</v>
      </c>
      <c r="F15" s="9" t="str">
        <f t="shared" si="0"/>
        <v/>
      </c>
      <c r="G15" s="9"/>
      <c r="H15" s="9" t="str">
        <f t="shared" si="0"/>
        <v/>
      </c>
      <c r="I15" s="9"/>
      <c r="J15" s="9" t="str">
        <f t="shared" si="0"/>
        <v/>
      </c>
      <c r="K15" s="9">
        <v>2.44E-5</v>
      </c>
      <c r="L15" s="9" t="str">
        <f t="shared" si="0"/>
        <v/>
      </c>
      <c r="M15" s="9">
        <v>2.4000000000000001E-5</v>
      </c>
      <c r="N15" s="9" t="str">
        <f t="shared" si="2"/>
        <v/>
      </c>
      <c r="O15" s="9"/>
      <c r="P15" s="9" t="str">
        <f t="shared" si="2"/>
        <v/>
      </c>
      <c r="Q15" s="9"/>
      <c r="R15" s="9" t="str">
        <f t="shared" si="2"/>
        <v/>
      </c>
      <c r="S15" s="9">
        <v>4.7200000000000002E-5</v>
      </c>
      <c r="T15" s="9" t="str">
        <f t="shared" si="2"/>
        <v/>
      </c>
      <c r="U15" s="9">
        <v>4.3300000000000002E-5</v>
      </c>
      <c r="V15" s="9" t="str">
        <f t="shared" si="2"/>
        <v/>
      </c>
      <c r="W15" s="9">
        <v>2.3099999999999999E-5</v>
      </c>
      <c r="X15" s="9" t="str">
        <f t="shared" si="2"/>
        <v/>
      </c>
      <c r="Y15" s="9">
        <v>2.26E-5</v>
      </c>
      <c r="Z15" s="9" t="str">
        <f t="shared" si="1"/>
        <v/>
      </c>
      <c r="AA15" s="9">
        <v>2.4300000000000001E-5</v>
      </c>
      <c r="AB15" s="9" t="str">
        <f t="shared" si="1"/>
        <v/>
      </c>
      <c r="AC15" s="9">
        <v>2.41E-5</v>
      </c>
      <c r="AD15" s="9" t="str">
        <f t="shared" si="1"/>
        <v/>
      </c>
    </row>
    <row r="16" spans="1:30" x14ac:dyDescent="0.25">
      <c r="B16" s="9">
        <v>8.8999999999999996E-2</v>
      </c>
      <c r="C16" s="9" t="str">
        <f t="shared" si="0"/>
        <v/>
      </c>
      <c r="D16" s="9"/>
      <c r="E16" s="9">
        <v>0.113</v>
      </c>
      <c r="F16" s="9" t="str">
        <f t="shared" si="0"/>
        <v/>
      </c>
      <c r="G16" s="9"/>
      <c r="H16" s="9" t="str">
        <f t="shared" si="0"/>
        <v/>
      </c>
      <c r="I16" s="9"/>
      <c r="J16" s="9" t="str">
        <f t="shared" si="0"/>
        <v/>
      </c>
      <c r="K16" s="9">
        <v>0.106</v>
      </c>
      <c r="L16" s="9" t="str">
        <f t="shared" si="0"/>
        <v/>
      </c>
      <c r="M16" s="9">
        <v>0.23799999999999999</v>
      </c>
      <c r="N16" s="9" t="str">
        <f t="shared" si="2"/>
        <v/>
      </c>
      <c r="O16" s="9"/>
      <c r="P16" s="9" t="str">
        <f t="shared" si="2"/>
        <v/>
      </c>
      <c r="Q16" s="9"/>
      <c r="R16" s="9" t="str">
        <f t="shared" si="2"/>
        <v/>
      </c>
      <c r="S16" s="9">
        <v>3.5000000000000003E-2</v>
      </c>
      <c r="T16" s="9" t="str">
        <f t="shared" si="2"/>
        <v/>
      </c>
      <c r="U16" s="9">
        <v>8.2000000000000003E-2</v>
      </c>
      <c r="V16" s="9" t="str">
        <f t="shared" si="2"/>
        <v/>
      </c>
      <c r="W16" s="9">
        <v>6.7000000000000004E-2</v>
      </c>
      <c r="X16" s="9" t="str">
        <f t="shared" si="2"/>
        <v/>
      </c>
      <c r="Y16" s="9">
        <v>9.6000000000000002E-2</v>
      </c>
      <c r="Z16" s="9" t="str">
        <f t="shared" si="1"/>
        <v/>
      </c>
      <c r="AA16" s="9">
        <v>0.18099999999999999</v>
      </c>
      <c r="AB16" s="9" t="str">
        <f t="shared" si="1"/>
        <v/>
      </c>
      <c r="AC16" s="9">
        <v>0.34100000000000003</v>
      </c>
      <c r="AD16" s="9" t="str">
        <f t="shared" si="1"/>
        <v/>
      </c>
    </row>
    <row r="17" spans="1:30" x14ac:dyDescent="0.25">
      <c r="A17" t="s">
        <v>34</v>
      </c>
      <c r="B17" s="9">
        <v>-1.5860000000000001E-5</v>
      </c>
      <c r="C17" s="9" t="str">
        <f t="shared" si="0"/>
        <v/>
      </c>
      <c r="D17" s="9" t="str">
        <f>+CONCATENATE(ROUND(B17,3), " ",C17)</f>
        <v xml:space="preserve">0 </v>
      </c>
      <c r="E17" s="9">
        <v>-3.8190000000000002E-6</v>
      </c>
      <c r="F17" s="9" t="str">
        <f t="shared" si="0"/>
        <v/>
      </c>
      <c r="G17" s="9">
        <v>-6.4529999999999994E-5</v>
      </c>
      <c r="H17" s="9" t="str">
        <f t="shared" si="0"/>
        <v/>
      </c>
      <c r="I17" s="9">
        <v>-5.4910000000000001E-5</v>
      </c>
      <c r="J17" s="9" t="str">
        <f t="shared" si="0"/>
        <v/>
      </c>
      <c r="K17" s="9"/>
      <c r="L17" s="9" t="str">
        <f t="shared" si="0"/>
        <v>***</v>
      </c>
      <c r="M17" s="9"/>
      <c r="N17" s="9" t="str">
        <f t="shared" si="2"/>
        <v>***</v>
      </c>
      <c r="O17" s="9">
        <v>6.4709999999999995E-5</v>
      </c>
      <c r="P17" s="9" t="str">
        <f t="shared" si="2"/>
        <v/>
      </c>
      <c r="Q17" s="9">
        <v>-1E-4</v>
      </c>
      <c r="R17" s="9" t="str">
        <f t="shared" si="2"/>
        <v/>
      </c>
      <c r="S17" s="9">
        <v>2.9999999999999997E-4</v>
      </c>
      <c r="T17" s="9" t="str">
        <f t="shared" si="2"/>
        <v>**</v>
      </c>
      <c r="U17" s="9">
        <v>-2.268E-5</v>
      </c>
      <c r="V17" s="9" t="str">
        <f t="shared" si="2"/>
        <v/>
      </c>
      <c r="W17" s="9">
        <v>-8.4309999999999994E-6</v>
      </c>
      <c r="X17" s="9" t="str">
        <f t="shared" si="2"/>
        <v/>
      </c>
      <c r="Y17" s="9">
        <v>-2.2649999999999999E-6</v>
      </c>
      <c r="Z17" s="9" t="str">
        <f t="shared" si="1"/>
        <v/>
      </c>
      <c r="AA17" s="9"/>
      <c r="AB17" s="9" t="str">
        <f t="shared" si="1"/>
        <v>***</v>
      </c>
      <c r="AC17" s="9"/>
      <c r="AD17" s="9" t="str">
        <f t="shared" si="1"/>
        <v>***</v>
      </c>
    </row>
    <row r="18" spans="1:30" x14ac:dyDescent="0.25">
      <c r="B18" s="9">
        <v>6.6199999999999996E-5</v>
      </c>
      <c r="C18" s="9" t="str">
        <f t="shared" si="0"/>
        <v/>
      </c>
      <c r="D18" s="9" t="str">
        <f>+CONCATENATE("(",ROUND(B18,3),")")</f>
        <v>(0)</v>
      </c>
      <c r="E18" s="9">
        <v>6.97E-5</v>
      </c>
      <c r="F18" s="9" t="str">
        <f t="shared" si="0"/>
        <v/>
      </c>
      <c r="G18" s="9">
        <v>5.9299999999999998E-5</v>
      </c>
      <c r="H18" s="9" t="str">
        <f t="shared" si="0"/>
        <v/>
      </c>
      <c r="I18" s="9">
        <v>6.5500000000000006E-5</v>
      </c>
      <c r="J18" s="9" t="str">
        <f t="shared" si="0"/>
        <v/>
      </c>
      <c r="K18" s="9"/>
      <c r="L18" s="9" t="str">
        <f t="shared" si="0"/>
        <v/>
      </c>
      <c r="M18" s="9"/>
      <c r="N18" s="9" t="str">
        <f t="shared" si="2"/>
        <v/>
      </c>
      <c r="O18" s="9">
        <v>0</v>
      </c>
      <c r="P18" s="9" t="str">
        <f t="shared" si="2"/>
        <v/>
      </c>
      <c r="Q18" s="9">
        <v>0</v>
      </c>
      <c r="R18" s="9" t="str">
        <f t="shared" si="2"/>
        <v/>
      </c>
      <c r="S18" s="9">
        <v>0</v>
      </c>
      <c r="T18" s="9" t="str">
        <f t="shared" si="2"/>
        <v/>
      </c>
      <c r="U18" s="9">
        <v>0</v>
      </c>
      <c r="V18" s="9" t="str">
        <f t="shared" si="2"/>
        <v/>
      </c>
      <c r="W18" s="9">
        <v>4.88E-5</v>
      </c>
      <c r="X18" s="9" t="str">
        <f t="shared" si="2"/>
        <v/>
      </c>
      <c r="Y18" s="9">
        <v>5.3399999999999997E-5</v>
      </c>
      <c r="Z18" s="9" t="str">
        <f t="shared" si="1"/>
        <v/>
      </c>
      <c r="AA18" s="9"/>
      <c r="AB18" s="9" t="str">
        <f t="shared" si="1"/>
        <v/>
      </c>
      <c r="AC18" s="9"/>
      <c r="AD18" s="9" t="str">
        <f t="shared" si="1"/>
        <v/>
      </c>
    </row>
    <row r="19" spans="1:30" x14ac:dyDescent="0.25">
      <c r="B19" s="9">
        <v>0.81100000000000005</v>
      </c>
      <c r="C19" s="9" t="str">
        <f t="shared" si="0"/>
        <v/>
      </c>
      <c r="D19" s="9"/>
      <c r="E19" s="9">
        <v>0.95599999999999996</v>
      </c>
      <c r="F19" s="9" t="str">
        <f t="shared" si="0"/>
        <v/>
      </c>
      <c r="G19" s="9">
        <v>0.27700000000000002</v>
      </c>
      <c r="H19" s="9" t="str">
        <f t="shared" si="0"/>
        <v/>
      </c>
      <c r="I19" s="9">
        <v>0.40200000000000002</v>
      </c>
      <c r="J19" s="9" t="str">
        <f t="shared" si="0"/>
        <v/>
      </c>
      <c r="K19" s="9"/>
      <c r="L19" s="9" t="str">
        <f t="shared" si="0"/>
        <v/>
      </c>
      <c r="M19" s="9"/>
      <c r="N19" s="9" t="str">
        <f t="shared" si="2"/>
        <v/>
      </c>
      <c r="O19" s="9">
        <v>0.60299999999999998</v>
      </c>
      <c r="P19" s="9" t="str">
        <f t="shared" si="2"/>
        <v/>
      </c>
      <c r="Q19" s="9">
        <v>0.219</v>
      </c>
      <c r="R19" s="9" t="str">
        <f t="shared" si="2"/>
        <v/>
      </c>
      <c r="S19" s="9">
        <v>1.7999999999999999E-2</v>
      </c>
      <c r="T19" s="9" t="str">
        <f t="shared" si="2"/>
        <v/>
      </c>
      <c r="U19" s="9">
        <v>0.85799999999999998</v>
      </c>
      <c r="V19" s="9" t="str">
        <f t="shared" si="2"/>
        <v/>
      </c>
      <c r="W19" s="9">
        <v>0.86299999999999999</v>
      </c>
      <c r="X19" s="9" t="str">
        <f t="shared" si="2"/>
        <v/>
      </c>
      <c r="Y19" s="9">
        <v>0.96599999999999997</v>
      </c>
      <c r="Z19" s="9" t="str">
        <f t="shared" si="1"/>
        <v/>
      </c>
      <c r="AA19" s="9"/>
      <c r="AB19" s="9" t="str">
        <f t="shared" si="1"/>
        <v/>
      </c>
      <c r="AC19" s="9"/>
      <c r="AD19" s="9" t="str">
        <f t="shared" si="1"/>
        <v/>
      </c>
    </row>
    <row r="20" spans="1:30" x14ac:dyDescent="0.25">
      <c r="A20" t="s">
        <v>35</v>
      </c>
      <c r="B20" s="9">
        <v>-3.5000000000000001E-3</v>
      </c>
      <c r="C20" s="9" t="str">
        <f t="shared" si="0"/>
        <v/>
      </c>
      <c r="D20" s="9" t="str">
        <f>+CONCATENATE(ROUND(B20,3), " ",C20)</f>
        <v xml:space="preserve">-0,004 </v>
      </c>
      <c r="E20" s="9">
        <v>-4.5999999999999999E-3</v>
      </c>
      <c r="F20" s="9" t="str">
        <f t="shared" si="0"/>
        <v/>
      </c>
      <c r="G20" s="9"/>
      <c r="H20" s="9" t="str">
        <f t="shared" si="0"/>
        <v>***</v>
      </c>
      <c r="I20" s="9"/>
      <c r="J20" s="9" t="str">
        <f t="shared" si="0"/>
        <v>***</v>
      </c>
      <c r="K20" s="9">
        <v>-3.7000000000000002E-3</v>
      </c>
      <c r="L20" s="9" t="str">
        <f t="shared" si="0"/>
        <v/>
      </c>
      <c r="M20" s="9">
        <v>-3.5999999999999999E-3</v>
      </c>
      <c r="N20" s="9" t="str">
        <f t="shared" si="2"/>
        <v/>
      </c>
      <c r="O20" s="9">
        <v>-4.8999999999999998E-3</v>
      </c>
      <c r="P20" s="9" t="str">
        <f t="shared" si="2"/>
        <v/>
      </c>
      <c r="Q20" s="9">
        <v>-8.3999999999999995E-3</v>
      </c>
      <c r="R20" s="9" t="str">
        <f t="shared" si="2"/>
        <v/>
      </c>
      <c r="S20" s="9">
        <v>-1.2999999999999999E-3</v>
      </c>
      <c r="T20" s="9" t="str">
        <f t="shared" si="2"/>
        <v/>
      </c>
      <c r="U20" s="9">
        <v>-4.8999999999999998E-3</v>
      </c>
      <c r="V20" s="9" t="str">
        <f t="shared" si="2"/>
        <v/>
      </c>
      <c r="W20" s="9"/>
      <c r="X20" s="9" t="str">
        <f t="shared" si="2"/>
        <v>***</v>
      </c>
      <c r="Y20" s="9"/>
      <c r="Z20" s="9" t="str">
        <f t="shared" si="1"/>
        <v>***</v>
      </c>
      <c r="AA20" s="9">
        <v>-3.0999999999999999E-3</v>
      </c>
      <c r="AB20" s="9" t="str">
        <f t="shared" si="1"/>
        <v/>
      </c>
      <c r="AC20" s="9">
        <v>-2.8E-3</v>
      </c>
      <c r="AD20" s="9" t="str">
        <f t="shared" si="1"/>
        <v/>
      </c>
    </row>
    <row r="21" spans="1:30" x14ac:dyDescent="0.25">
      <c r="B21" s="9">
        <v>4.0000000000000001E-3</v>
      </c>
      <c r="C21" s="9" t="str">
        <f t="shared" si="0"/>
        <v/>
      </c>
      <c r="D21" s="9" t="str">
        <f>+CONCATENATE("(",ROUND(B21,3),")")</f>
        <v>(0,004)</v>
      </c>
      <c r="E21" s="9">
        <v>4.0000000000000001E-3</v>
      </c>
      <c r="F21" s="9" t="str">
        <f t="shared" si="0"/>
        <v/>
      </c>
      <c r="G21" s="9"/>
      <c r="H21" s="9" t="str">
        <f t="shared" si="0"/>
        <v/>
      </c>
      <c r="I21" s="9"/>
      <c r="J21" s="9" t="str">
        <f t="shared" si="0"/>
        <v/>
      </c>
      <c r="K21" s="9">
        <v>4.0000000000000001E-3</v>
      </c>
      <c r="L21" s="9" t="str">
        <f t="shared" si="0"/>
        <v/>
      </c>
      <c r="M21" s="9">
        <v>4.0000000000000001E-3</v>
      </c>
      <c r="N21" s="9" t="str">
        <f t="shared" si="2"/>
        <v/>
      </c>
      <c r="O21" s="9">
        <v>8.0000000000000002E-3</v>
      </c>
      <c r="P21" s="9" t="str">
        <f t="shared" si="2"/>
        <v/>
      </c>
      <c r="Q21" s="9">
        <v>7.0000000000000001E-3</v>
      </c>
      <c r="R21" s="9" t="str">
        <f t="shared" si="2"/>
        <v/>
      </c>
      <c r="S21" s="9">
        <v>8.0000000000000002E-3</v>
      </c>
      <c r="T21" s="9" t="str">
        <f t="shared" si="2"/>
        <v/>
      </c>
      <c r="U21" s="9">
        <v>7.0000000000000001E-3</v>
      </c>
      <c r="V21" s="9" t="str">
        <f t="shared" si="2"/>
        <v/>
      </c>
      <c r="W21" s="9"/>
      <c r="X21" s="9" t="str">
        <f t="shared" si="2"/>
        <v/>
      </c>
      <c r="Y21" s="9"/>
      <c r="Z21" s="9" t="str">
        <f t="shared" si="1"/>
        <v/>
      </c>
      <c r="AA21" s="9">
        <v>4.0000000000000001E-3</v>
      </c>
      <c r="AB21" s="9" t="str">
        <f t="shared" si="1"/>
        <v/>
      </c>
      <c r="AC21" s="9">
        <v>4.0000000000000001E-3</v>
      </c>
      <c r="AD21" s="9" t="str">
        <f t="shared" si="1"/>
        <v/>
      </c>
    </row>
    <row r="22" spans="1:30" x14ac:dyDescent="0.25">
      <c r="B22" s="9">
        <v>0.374</v>
      </c>
      <c r="C22" s="9" t="str">
        <f t="shared" si="0"/>
        <v/>
      </c>
      <c r="D22" s="9"/>
      <c r="E22" s="9">
        <v>0.23400000000000001</v>
      </c>
      <c r="F22" s="9" t="str">
        <f t="shared" si="0"/>
        <v/>
      </c>
      <c r="G22" s="9"/>
      <c r="H22" s="9" t="str">
        <f t="shared" si="0"/>
        <v/>
      </c>
      <c r="I22" s="9"/>
      <c r="J22" s="9" t="str">
        <f t="shared" si="0"/>
        <v/>
      </c>
      <c r="K22" s="9">
        <v>0.377</v>
      </c>
      <c r="L22" s="9" t="str">
        <f t="shared" si="0"/>
        <v/>
      </c>
      <c r="M22" s="9">
        <v>0.372</v>
      </c>
      <c r="N22" s="9" t="str">
        <f t="shared" si="2"/>
        <v/>
      </c>
      <c r="O22" s="9">
        <v>0.55400000000000005</v>
      </c>
      <c r="P22" s="9" t="str">
        <f t="shared" si="2"/>
        <v/>
      </c>
      <c r="Q22" s="9">
        <v>0.24299999999999999</v>
      </c>
      <c r="R22" s="9" t="str">
        <f t="shared" si="2"/>
        <v/>
      </c>
      <c r="S22" s="9">
        <v>0.86799999999999999</v>
      </c>
      <c r="T22" s="9" t="str">
        <f t="shared" si="2"/>
        <v/>
      </c>
      <c r="U22" s="9">
        <v>0.505</v>
      </c>
      <c r="V22" s="9" t="str">
        <f t="shared" si="2"/>
        <v/>
      </c>
      <c r="W22" s="9"/>
      <c r="X22" s="9" t="str">
        <f t="shared" si="2"/>
        <v/>
      </c>
      <c r="Y22" s="9"/>
      <c r="Z22" s="9" t="str">
        <f t="shared" si="1"/>
        <v/>
      </c>
      <c r="AA22" s="9">
        <v>0.45100000000000001</v>
      </c>
      <c r="AB22" s="9" t="str">
        <f t="shared" si="1"/>
        <v/>
      </c>
      <c r="AC22" s="9">
        <v>0.48499999999999999</v>
      </c>
      <c r="AD22" s="9" t="str">
        <f t="shared" si="1"/>
        <v/>
      </c>
    </row>
    <row r="23" spans="1:30" x14ac:dyDescent="0.25">
      <c r="A23" t="s">
        <v>36</v>
      </c>
      <c r="B23" s="9">
        <v>2.2369999999999999E-6</v>
      </c>
      <c r="C23" s="9" t="str">
        <f t="shared" si="0"/>
        <v/>
      </c>
      <c r="D23" s="9" t="str">
        <f>+CONCATENATE(ROUND(B23,3), " ",C23)</f>
        <v xml:space="preserve">0 </v>
      </c>
      <c r="E23" s="9">
        <v>1.849E-6</v>
      </c>
      <c r="F23" s="9" t="str">
        <f t="shared" si="0"/>
        <v/>
      </c>
      <c r="G23" s="9"/>
      <c r="H23" s="9" t="str">
        <f t="shared" si="0"/>
        <v>***</v>
      </c>
      <c r="I23" s="9"/>
      <c r="J23" s="9" t="str">
        <f t="shared" si="0"/>
        <v>***</v>
      </c>
      <c r="K23" s="9"/>
      <c r="L23" s="9" t="str">
        <f t="shared" si="0"/>
        <v>***</v>
      </c>
      <c r="M23" s="9"/>
      <c r="N23" s="9" t="str">
        <f t="shared" si="2"/>
        <v>***</v>
      </c>
      <c r="O23" s="9"/>
      <c r="P23" s="9" t="str">
        <f t="shared" si="2"/>
        <v>***</v>
      </c>
      <c r="Q23" s="9"/>
      <c r="R23" s="9" t="str">
        <f t="shared" si="2"/>
        <v>***</v>
      </c>
      <c r="S23" s="9"/>
      <c r="T23" s="9" t="str">
        <f t="shared" si="2"/>
        <v>***</v>
      </c>
      <c r="U23" s="9"/>
      <c r="V23" s="9" t="str">
        <f t="shared" si="2"/>
        <v>***</v>
      </c>
      <c r="W23" s="9"/>
      <c r="X23" s="9" t="str">
        <f t="shared" si="2"/>
        <v>***</v>
      </c>
      <c r="Y23" s="9"/>
      <c r="Z23" s="9" t="str">
        <f t="shared" si="1"/>
        <v>***</v>
      </c>
      <c r="AA23" s="9">
        <v>1.2619999999999999E-6</v>
      </c>
      <c r="AB23" s="9" t="str">
        <f t="shared" si="1"/>
        <v/>
      </c>
      <c r="AC23" s="9">
        <v>2.0080000000000001E-6</v>
      </c>
      <c r="AD23" s="9" t="str">
        <f t="shared" si="1"/>
        <v/>
      </c>
    </row>
    <row r="24" spans="1:30" x14ac:dyDescent="0.25">
      <c r="B24" s="9">
        <v>2.0600000000000002E-6</v>
      </c>
      <c r="C24" s="9" t="str">
        <f t="shared" si="0"/>
        <v/>
      </c>
      <c r="D24" s="9" t="str">
        <f>+CONCATENATE("(",ROUND(B24,3),")")</f>
        <v>(0)</v>
      </c>
      <c r="E24" s="9">
        <v>2.04E-6</v>
      </c>
      <c r="F24" s="9" t="str">
        <f t="shared" si="0"/>
        <v/>
      </c>
      <c r="G24" s="9"/>
      <c r="H24" s="9" t="str">
        <f t="shared" si="0"/>
        <v/>
      </c>
      <c r="I24" s="9"/>
      <c r="J24" s="9" t="str">
        <f t="shared" si="0"/>
        <v/>
      </c>
      <c r="K24" s="9"/>
      <c r="L24" s="9" t="str">
        <f t="shared" si="0"/>
        <v/>
      </c>
      <c r="M24" s="9"/>
      <c r="N24" s="9" t="str">
        <f t="shared" si="2"/>
        <v/>
      </c>
      <c r="O24" s="9"/>
      <c r="P24" s="9" t="str">
        <f t="shared" si="2"/>
        <v/>
      </c>
      <c r="Q24" s="9"/>
      <c r="R24" s="9" t="str">
        <f t="shared" si="2"/>
        <v/>
      </c>
      <c r="S24" s="9"/>
      <c r="T24" s="9" t="str">
        <f t="shared" si="2"/>
        <v/>
      </c>
      <c r="U24" s="9"/>
      <c r="V24" s="9" t="str">
        <f t="shared" si="2"/>
        <v/>
      </c>
      <c r="W24" s="9"/>
      <c r="X24" s="9" t="str">
        <f t="shared" si="2"/>
        <v/>
      </c>
      <c r="Y24" s="9"/>
      <c r="Z24" s="9" t="str">
        <f t="shared" si="1"/>
        <v/>
      </c>
      <c r="AA24" s="9">
        <v>2.1399999999999998E-6</v>
      </c>
      <c r="AB24" s="9" t="str">
        <f t="shared" si="1"/>
        <v/>
      </c>
      <c r="AC24" s="9">
        <v>2.1600000000000001E-6</v>
      </c>
      <c r="AD24" s="9" t="str">
        <f t="shared" si="1"/>
        <v/>
      </c>
    </row>
    <row r="25" spans="1:30" x14ac:dyDescent="0.25">
      <c r="B25" s="9">
        <v>0.27700000000000002</v>
      </c>
      <c r="C25" s="9" t="str">
        <f t="shared" si="0"/>
        <v/>
      </c>
      <c r="D25" s="9"/>
      <c r="E25" s="9">
        <v>0.36499999999999999</v>
      </c>
      <c r="F25" s="9" t="str">
        <f t="shared" si="0"/>
        <v/>
      </c>
      <c r="G25" s="9"/>
      <c r="H25" s="9" t="str">
        <f t="shared" si="0"/>
        <v/>
      </c>
      <c r="I25" s="9"/>
      <c r="J25" s="9" t="str">
        <f t="shared" si="0"/>
        <v/>
      </c>
      <c r="K25" s="9"/>
      <c r="L25" s="9" t="str">
        <f t="shared" si="0"/>
        <v/>
      </c>
      <c r="M25" s="9"/>
      <c r="N25" s="9" t="str">
        <f t="shared" si="2"/>
        <v/>
      </c>
      <c r="O25" s="9"/>
      <c r="P25" s="9" t="str">
        <f t="shared" si="2"/>
        <v/>
      </c>
      <c r="Q25" s="9"/>
      <c r="R25" s="9" t="str">
        <f t="shared" si="2"/>
        <v/>
      </c>
      <c r="S25" s="9"/>
      <c r="T25" s="9" t="str">
        <f t="shared" si="2"/>
        <v/>
      </c>
      <c r="U25" s="9"/>
      <c r="V25" s="9" t="str">
        <f t="shared" si="2"/>
        <v/>
      </c>
      <c r="W25" s="9"/>
      <c r="X25" s="9" t="str">
        <f t="shared" si="2"/>
        <v/>
      </c>
      <c r="Y25" s="9"/>
      <c r="Z25" s="9" t="str">
        <f t="shared" si="1"/>
        <v/>
      </c>
      <c r="AA25" s="9">
        <v>0.55500000000000005</v>
      </c>
      <c r="AB25" s="9" t="str">
        <f t="shared" si="1"/>
        <v/>
      </c>
      <c r="AC25" s="9">
        <v>0.35199999999999998</v>
      </c>
      <c r="AD25" s="9" t="str">
        <f t="shared" si="1"/>
        <v/>
      </c>
    </row>
    <row r="26" spans="1:30" x14ac:dyDescent="0.25">
      <c r="A26" t="s">
        <v>37</v>
      </c>
      <c r="B26" s="9">
        <v>4.1949999999999997E-9</v>
      </c>
      <c r="C26" s="9" t="str">
        <f t="shared" si="0"/>
        <v/>
      </c>
      <c r="D26" s="9" t="str">
        <f>+CONCATENATE(ROUND(B26,3), " ",C26)</f>
        <v xml:space="preserve">0 </v>
      </c>
      <c r="E26" s="9">
        <v>3.8039999999999997E-9</v>
      </c>
      <c r="F26" s="9" t="str">
        <f t="shared" si="0"/>
        <v/>
      </c>
      <c r="G26" s="9">
        <v>5.8539999999999998E-9</v>
      </c>
      <c r="H26" s="9" t="str">
        <f t="shared" si="0"/>
        <v>*</v>
      </c>
      <c r="I26" s="9">
        <v>6.2030000000000002E-9</v>
      </c>
      <c r="J26" s="9" t="str">
        <f t="shared" si="0"/>
        <v>*</v>
      </c>
      <c r="K26" s="9"/>
      <c r="L26" s="9" t="str">
        <f t="shared" si="0"/>
        <v>***</v>
      </c>
      <c r="M26" s="9"/>
      <c r="N26" s="9" t="str">
        <f t="shared" si="2"/>
        <v>***</v>
      </c>
      <c r="O26" s="9"/>
      <c r="P26" s="9" t="str">
        <f t="shared" si="2"/>
        <v>***</v>
      </c>
      <c r="Q26" s="9"/>
      <c r="R26" s="9" t="str">
        <f t="shared" si="2"/>
        <v>***</v>
      </c>
      <c r="S26" s="9">
        <v>-2.7719999999999999E-8</v>
      </c>
      <c r="T26" s="9" t="str">
        <f t="shared" si="2"/>
        <v>***</v>
      </c>
      <c r="U26" s="9">
        <v>-2.1109999999999998E-8</v>
      </c>
      <c r="V26" s="9" t="str">
        <f t="shared" si="2"/>
        <v>***</v>
      </c>
      <c r="W26" s="9"/>
      <c r="X26" s="9" t="str">
        <f t="shared" si="2"/>
        <v>***</v>
      </c>
      <c r="Y26" s="9"/>
      <c r="Z26" s="9" t="str">
        <f t="shared" si="1"/>
        <v>***</v>
      </c>
      <c r="AA26" s="9"/>
      <c r="AB26" s="9" t="str">
        <f t="shared" si="1"/>
        <v>***</v>
      </c>
      <c r="AC26" s="9"/>
      <c r="AD26" s="9" t="str">
        <f t="shared" si="1"/>
        <v>***</v>
      </c>
    </row>
    <row r="27" spans="1:30" x14ac:dyDescent="0.25">
      <c r="B27" s="9">
        <v>3.36E-9</v>
      </c>
      <c r="C27" s="9" t="str">
        <f t="shared" si="0"/>
        <v/>
      </c>
      <c r="D27" s="9" t="str">
        <f>+CONCATENATE("(",ROUND(B27,3),")")</f>
        <v>(0)</v>
      </c>
      <c r="E27" s="9">
        <v>3.24E-9</v>
      </c>
      <c r="F27" s="9" t="str">
        <f t="shared" si="0"/>
        <v/>
      </c>
      <c r="G27" s="9">
        <v>3.4900000000000001E-9</v>
      </c>
      <c r="H27" s="9" t="str">
        <f t="shared" si="0"/>
        <v/>
      </c>
      <c r="I27" s="9">
        <v>3.3499999999999998E-9</v>
      </c>
      <c r="J27" s="9" t="str">
        <f t="shared" si="0"/>
        <v/>
      </c>
      <c r="K27" s="9"/>
      <c r="L27" s="9" t="str">
        <f t="shared" si="0"/>
        <v/>
      </c>
      <c r="M27" s="9"/>
      <c r="N27" s="9" t="str">
        <f t="shared" si="2"/>
        <v/>
      </c>
      <c r="O27" s="9"/>
      <c r="P27" s="9" t="str">
        <f t="shared" si="2"/>
        <v/>
      </c>
      <c r="Q27" s="9"/>
      <c r="R27" s="9" t="str">
        <f t="shared" si="2"/>
        <v/>
      </c>
      <c r="S27" s="9">
        <v>6.5700000000000003E-9</v>
      </c>
      <c r="T27" s="9" t="str">
        <f t="shared" si="2"/>
        <v/>
      </c>
      <c r="U27" s="9">
        <v>5.9900000000000002E-9</v>
      </c>
      <c r="V27" s="9" t="str">
        <f t="shared" si="2"/>
        <v/>
      </c>
      <c r="W27" s="9"/>
      <c r="X27" s="9" t="str">
        <f t="shared" si="2"/>
        <v/>
      </c>
      <c r="Y27" s="9"/>
      <c r="Z27" s="9" t="str">
        <f t="shared" si="1"/>
        <v/>
      </c>
      <c r="AA27" s="9"/>
      <c r="AB27" s="9" t="str">
        <f t="shared" si="1"/>
        <v/>
      </c>
      <c r="AC27" s="9"/>
      <c r="AD27" s="9" t="str">
        <f t="shared" si="1"/>
        <v/>
      </c>
    </row>
    <row r="28" spans="1:30" x14ac:dyDescent="0.25">
      <c r="B28" s="9">
        <v>0.21199999999999999</v>
      </c>
      <c r="C28" s="9" t="str">
        <f t="shared" si="0"/>
        <v/>
      </c>
      <c r="D28" s="9"/>
      <c r="E28" s="9">
        <v>0.24</v>
      </c>
      <c r="F28" s="9" t="str">
        <f t="shared" si="0"/>
        <v/>
      </c>
      <c r="G28" s="9">
        <v>9.4E-2</v>
      </c>
      <c r="H28" s="9" t="str">
        <f t="shared" si="0"/>
        <v/>
      </c>
      <c r="I28" s="9">
        <v>6.5000000000000002E-2</v>
      </c>
      <c r="J28" s="9" t="str">
        <f t="shared" si="0"/>
        <v/>
      </c>
      <c r="K28" s="9"/>
      <c r="L28" s="9" t="str">
        <f t="shared" si="0"/>
        <v/>
      </c>
      <c r="M28" s="9"/>
      <c r="N28" s="9" t="str">
        <f t="shared" si="2"/>
        <v/>
      </c>
      <c r="O28" s="9"/>
      <c r="P28" s="9" t="str">
        <f t="shared" si="2"/>
        <v/>
      </c>
      <c r="Q28" s="9"/>
      <c r="R28" s="9" t="str">
        <f t="shared" si="2"/>
        <v/>
      </c>
      <c r="S28" s="9">
        <v>0</v>
      </c>
      <c r="T28" s="9" t="str">
        <f t="shared" si="2"/>
        <v/>
      </c>
      <c r="U28" s="9">
        <v>0</v>
      </c>
      <c r="V28" s="9" t="str">
        <f t="shared" si="2"/>
        <v/>
      </c>
      <c r="W28" s="9"/>
      <c r="X28" s="9" t="str">
        <f t="shared" si="2"/>
        <v/>
      </c>
      <c r="Y28" s="9"/>
      <c r="Z28" s="9" t="str">
        <f t="shared" si="1"/>
        <v/>
      </c>
      <c r="AA28" s="9"/>
      <c r="AB28" s="9" t="str">
        <f t="shared" si="1"/>
        <v/>
      </c>
      <c r="AC28" s="9"/>
      <c r="AD28" s="9" t="str">
        <f t="shared" si="1"/>
        <v/>
      </c>
    </row>
    <row r="29" spans="1:30" x14ac:dyDescent="0.25">
      <c r="A29" t="s">
        <v>38</v>
      </c>
      <c r="B29" s="9">
        <v>3.0599999999999999E-2</v>
      </c>
      <c r="C29" s="9" t="str">
        <f t="shared" si="0"/>
        <v>***</v>
      </c>
      <c r="D29" s="9" t="str">
        <f>+CONCATENATE(ROUND(B29,3), " ",C29)</f>
        <v>0,031 ***</v>
      </c>
      <c r="E29" s="9">
        <v>2.98E-2</v>
      </c>
      <c r="F29" s="9" t="str">
        <f t="shared" si="0"/>
        <v>***</v>
      </c>
      <c r="G29" s="9"/>
      <c r="H29" s="9" t="str">
        <f t="shared" si="0"/>
        <v>***</v>
      </c>
      <c r="I29" s="9"/>
      <c r="J29" s="9" t="str">
        <f t="shared" si="0"/>
        <v>***</v>
      </c>
      <c r="K29" s="9"/>
      <c r="L29" s="9" t="str">
        <f t="shared" si="0"/>
        <v>***</v>
      </c>
      <c r="M29" s="9"/>
      <c r="N29" s="9" t="str">
        <f t="shared" si="2"/>
        <v>***</v>
      </c>
      <c r="O29" s="9">
        <v>2.5600000000000001E-2</v>
      </c>
      <c r="P29" s="9" t="str">
        <f t="shared" si="2"/>
        <v>**</v>
      </c>
      <c r="Q29" s="9">
        <v>1.3299999999999999E-2</v>
      </c>
      <c r="R29" s="9" t="str">
        <f t="shared" si="2"/>
        <v/>
      </c>
      <c r="S29" s="9">
        <v>5.6599999999999998E-2</v>
      </c>
      <c r="T29" s="9" t="str">
        <f t="shared" si="2"/>
        <v>***</v>
      </c>
      <c r="U29" s="9">
        <v>5.8999999999999997E-2</v>
      </c>
      <c r="V29" s="9" t="str">
        <f t="shared" si="2"/>
        <v>***</v>
      </c>
      <c r="W29" s="9">
        <v>2.9100000000000001E-2</v>
      </c>
      <c r="X29" s="9" t="str">
        <f t="shared" si="2"/>
        <v>***</v>
      </c>
      <c r="Y29" s="9">
        <v>2.87E-2</v>
      </c>
      <c r="Z29" s="9" t="str">
        <f t="shared" si="1"/>
        <v>***</v>
      </c>
      <c r="AA29" s="9"/>
      <c r="AB29" s="9" t="str">
        <f t="shared" si="1"/>
        <v>***</v>
      </c>
      <c r="AC29" s="9"/>
      <c r="AD29" s="9" t="str">
        <f t="shared" si="1"/>
        <v>***</v>
      </c>
    </row>
    <row r="30" spans="1:30" x14ac:dyDescent="0.25">
      <c r="B30" s="9">
        <v>5.0000000000000001E-3</v>
      </c>
      <c r="C30" s="9" t="str">
        <f t="shared" si="0"/>
        <v/>
      </c>
      <c r="D30" s="9" t="str">
        <f>+CONCATENATE("(",ROUND(B30,3),")")</f>
        <v>(0,005)</v>
      </c>
      <c r="E30" s="9">
        <v>6.0000000000000001E-3</v>
      </c>
      <c r="F30" s="9" t="str">
        <f t="shared" si="0"/>
        <v/>
      </c>
      <c r="G30" s="9"/>
      <c r="H30" s="9" t="str">
        <f t="shared" si="0"/>
        <v/>
      </c>
      <c r="I30" s="9"/>
      <c r="J30" s="9" t="str">
        <f t="shared" si="0"/>
        <v/>
      </c>
      <c r="K30" s="9"/>
      <c r="L30" s="9" t="str">
        <f t="shared" si="0"/>
        <v/>
      </c>
      <c r="M30" s="9"/>
      <c r="N30" s="9" t="str">
        <f t="shared" si="2"/>
        <v/>
      </c>
      <c r="O30" s="9">
        <v>0.01</v>
      </c>
      <c r="P30" s="9" t="str">
        <f t="shared" si="2"/>
        <v/>
      </c>
      <c r="Q30" s="9">
        <v>1.0999999999999999E-2</v>
      </c>
      <c r="R30" s="9" t="str">
        <f t="shared" si="2"/>
        <v/>
      </c>
      <c r="S30" s="9">
        <v>3.0000000000000001E-3</v>
      </c>
      <c r="T30" s="9" t="str">
        <f t="shared" si="2"/>
        <v/>
      </c>
      <c r="U30" s="9">
        <v>3.0000000000000001E-3</v>
      </c>
      <c r="V30" s="9" t="str">
        <f t="shared" si="2"/>
        <v/>
      </c>
      <c r="W30" s="9">
        <v>5.0000000000000001E-3</v>
      </c>
      <c r="X30" s="9" t="str">
        <f t="shared" si="2"/>
        <v/>
      </c>
      <c r="Y30" s="9">
        <v>6.0000000000000001E-3</v>
      </c>
      <c r="Z30" s="9" t="str">
        <f t="shared" si="1"/>
        <v/>
      </c>
      <c r="AA30" s="9"/>
      <c r="AB30" s="9" t="str">
        <f t="shared" si="1"/>
        <v/>
      </c>
      <c r="AC30" s="9"/>
      <c r="AD30" s="9" t="str">
        <f t="shared" si="1"/>
        <v/>
      </c>
    </row>
    <row r="31" spans="1:30" x14ac:dyDescent="0.25">
      <c r="B31" s="9">
        <v>0</v>
      </c>
      <c r="C31" s="9" t="str">
        <f t="shared" si="0"/>
        <v/>
      </c>
      <c r="D31" s="9"/>
      <c r="E31" s="9">
        <v>0</v>
      </c>
      <c r="F31" s="9" t="str">
        <f t="shared" si="0"/>
        <v/>
      </c>
      <c r="G31" s="9"/>
      <c r="H31" s="9" t="str">
        <f t="shared" si="0"/>
        <v/>
      </c>
      <c r="I31" s="9"/>
      <c r="J31" s="9" t="str">
        <f t="shared" si="0"/>
        <v/>
      </c>
      <c r="K31" s="9"/>
      <c r="L31" s="9" t="str">
        <f t="shared" si="0"/>
        <v/>
      </c>
      <c r="M31" s="9"/>
      <c r="N31" s="9" t="str">
        <f t="shared" si="2"/>
        <v/>
      </c>
      <c r="O31" s="9">
        <v>1.2999999999999999E-2</v>
      </c>
      <c r="P31" s="9" t="str">
        <f t="shared" si="2"/>
        <v/>
      </c>
      <c r="Q31" s="9">
        <v>0.222</v>
      </c>
      <c r="R31" s="9" t="str">
        <f t="shared" si="2"/>
        <v/>
      </c>
      <c r="S31" s="9">
        <v>0</v>
      </c>
      <c r="T31" s="9" t="str">
        <f t="shared" si="2"/>
        <v/>
      </c>
      <c r="U31" s="9">
        <v>0</v>
      </c>
      <c r="V31" s="9" t="str">
        <f t="shared" si="2"/>
        <v/>
      </c>
      <c r="W31" s="9">
        <v>0</v>
      </c>
      <c r="X31" s="9" t="str">
        <f t="shared" si="2"/>
        <v/>
      </c>
      <c r="Y31" s="9">
        <v>0</v>
      </c>
      <c r="Z31" s="9" t="str">
        <f t="shared" si="1"/>
        <v/>
      </c>
      <c r="AA31" s="9"/>
      <c r="AB31" s="9" t="str">
        <f t="shared" si="1"/>
        <v/>
      </c>
      <c r="AC31" s="9"/>
      <c r="AD31" s="9" t="str">
        <f t="shared" si="1"/>
        <v/>
      </c>
    </row>
    <row r="32" spans="1:30" x14ac:dyDescent="0.25">
      <c r="A32" t="s">
        <v>39</v>
      </c>
      <c r="B32" s="9">
        <v>1.099E-5</v>
      </c>
      <c r="C32" s="9" t="str">
        <f t="shared" si="0"/>
        <v/>
      </c>
      <c r="D32" s="9" t="str">
        <f>+CONCATENATE(ROUND(B32,3), " ",C32)</f>
        <v xml:space="preserve">0 </v>
      </c>
      <c r="E32" s="9">
        <v>8.1459999999999996E-6</v>
      </c>
      <c r="F32" s="9" t="str">
        <f t="shared" si="0"/>
        <v/>
      </c>
      <c r="G32" s="9"/>
      <c r="H32" s="9" t="str">
        <f t="shared" si="0"/>
        <v>***</v>
      </c>
      <c r="I32" s="9"/>
      <c r="J32" s="9" t="str">
        <f t="shared" si="0"/>
        <v>***</v>
      </c>
      <c r="K32" s="9">
        <v>1.11E-5</v>
      </c>
      <c r="L32" s="9" t="str">
        <f t="shared" si="0"/>
        <v/>
      </c>
      <c r="M32" s="9">
        <v>8.4999999999999999E-6</v>
      </c>
      <c r="N32" s="9" t="str">
        <f t="shared" si="2"/>
        <v/>
      </c>
      <c r="O32" s="9">
        <v>-1.545E-6</v>
      </c>
      <c r="P32" s="9" t="str">
        <f t="shared" si="2"/>
        <v/>
      </c>
      <c r="Q32" s="9">
        <v>1.1420000000000001E-5</v>
      </c>
      <c r="R32" s="9" t="str">
        <f t="shared" si="2"/>
        <v/>
      </c>
      <c r="S32" s="9">
        <v>-6.7379999999999997E-6</v>
      </c>
      <c r="T32" s="9" t="str">
        <f t="shared" si="2"/>
        <v/>
      </c>
      <c r="U32" s="9">
        <v>4.9509999999999997E-6</v>
      </c>
      <c r="V32" s="9" t="str">
        <f t="shared" si="2"/>
        <v/>
      </c>
      <c r="W32" s="9"/>
      <c r="X32" s="9" t="str">
        <f t="shared" si="2"/>
        <v>***</v>
      </c>
      <c r="Y32" s="9"/>
      <c r="Z32" s="9" t="str">
        <f t="shared" si="1"/>
        <v>***</v>
      </c>
      <c r="AA32" s="9">
        <v>9.5799999999999998E-6</v>
      </c>
      <c r="AB32" s="9" t="str">
        <f t="shared" si="1"/>
        <v/>
      </c>
      <c r="AC32" s="9">
        <v>6.4350000000000002E-6</v>
      </c>
      <c r="AD32" s="9" t="str">
        <f t="shared" si="1"/>
        <v/>
      </c>
    </row>
    <row r="33" spans="1:30" x14ac:dyDescent="0.25">
      <c r="B33" s="9">
        <v>8.7700000000000007E-6</v>
      </c>
      <c r="C33" s="9" t="str">
        <f t="shared" si="0"/>
        <v/>
      </c>
      <c r="D33" s="9" t="str">
        <f>+CONCATENATE("(",ROUND(B33,3),")")</f>
        <v>(0)</v>
      </c>
      <c r="E33" s="9">
        <v>8.2900000000000002E-6</v>
      </c>
      <c r="F33" s="9" t="str">
        <f t="shared" si="0"/>
        <v/>
      </c>
      <c r="G33" s="9"/>
      <c r="H33" s="9" t="str">
        <f t="shared" si="0"/>
        <v/>
      </c>
      <c r="I33" s="9"/>
      <c r="J33" s="9" t="str">
        <f t="shared" si="0"/>
        <v/>
      </c>
      <c r="K33" s="9">
        <v>9.3000000000000007E-6</v>
      </c>
      <c r="L33" s="9" t="str">
        <f t="shared" si="0"/>
        <v/>
      </c>
      <c r="M33" s="9">
        <v>8.8400000000000001E-6</v>
      </c>
      <c r="N33" s="9" t="str">
        <f t="shared" si="2"/>
        <v/>
      </c>
      <c r="O33" s="9">
        <v>1.8300000000000001E-5</v>
      </c>
      <c r="P33" s="9" t="str">
        <f t="shared" si="2"/>
        <v/>
      </c>
      <c r="Q33" s="9">
        <v>1.56E-5</v>
      </c>
      <c r="R33" s="9" t="str">
        <f t="shared" si="2"/>
        <v/>
      </c>
      <c r="S33" s="9">
        <v>1.8E-5</v>
      </c>
      <c r="T33" s="9" t="str">
        <f t="shared" si="2"/>
        <v/>
      </c>
      <c r="U33" s="9">
        <v>1.5999999999999999E-5</v>
      </c>
      <c r="V33" s="9" t="str">
        <f t="shared" si="2"/>
        <v/>
      </c>
      <c r="W33" s="9"/>
      <c r="X33" s="9" t="str">
        <f t="shared" si="2"/>
        <v/>
      </c>
      <c r="Y33" s="9"/>
      <c r="Z33" s="9" t="str">
        <f t="shared" si="1"/>
        <v/>
      </c>
      <c r="AA33" s="9">
        <v>9.2599999999999994E-6</v>
      </c>
      <c r="AB33" s="9" t="str">
        <f t="shared" si="1"/>
        <v/>
      </c>
      <c r="AC33" s="9">
        <v>8.85E-6</v>
      </c>
      <c r="AD33" s="9" t="str">
        <f t="shared" si="1"/>
        <v/>
      </c>
    </row>
    <row r="34" spans="1:30" x14ac:dyDescent="0.25">
      <c r="B34" s="9">
        <v>0.21099999999999999</v>
      </c>
      <c r="C34" s="9" t="str">
        <f t="shared" si="0"/>
        <v/>
      </c>
      <c r="D34" s="9"/>
      <c r="E34" s="9">
        <v>0.32600000000000001</v>
      </c>
      <c r="F34" s="9" t="str">
        <f t="shared" si="0"/>
        <v/>
      </c>
      <c r="G34" s="9"/>
      <c r="H34" s="9" t="str">
        <f t="shared" si="0"/>
        <v/>
      </c>
      <c r="I34" s="9"/>
      <c r="J34" s="9" t="str">
        <f t="shared" si="0"/>
        <v/>
      </c>
      <c r="K34" s="9">
        <v>0.23300000000000001</v>
      </c>
      <c r="L34" s="9" t="str">
        <f t="shared" si="0"/>
        <v/>
      </c>
      <c r="M34" s="9">
        <v>0.33700000000000002</v>
      </c>
      <c r="N34" s="9" t="str">
        <f t="shared" si="2"/>
        <v/>
      </c>
      <c r="O34" s="9">
        <v>0.93300000000000005</v>
      </c>
      <c r="P34" s="9" t="str">
        <f t="shared" si="2"/>
        <v/>
      </c>
      <c r="Q34" s="9">
        <v>0.46500000000000002</v>
      </c>
      <c r="R34" s="9" t="str">
        <f t="shared" si="2"/>
        <v/>
      </c>
      <c r="S34" s="9">
        <v>0.70799999999999996</v>
      </c>
      <c r="T34" s="9" t="str">
        <f t="shared" si="2"/>
        <v/>
      </c>
      <c r="U34" s="9">
        <v>0.75800000000000001</v>
      </c>
      <c r="V34" s="9" t="str">
        <f t="shared" si="2"/>
        <v/>
      </c>
      <c r="W34" s="9"/>
      <c r="X34" s="9" t="str">
        <f t="shared" si="2"/>
        <v/>
      </c>
      <c r="Y34" s="9"/>
      <c r="Z34" s="9" t="str">
        <f t="shared" si="1"/>
        <v/>
      </c>
      <c r="AA34" s="9">
        <v>0.30099999999999999</v>
      </c>
      <c r="AB34" s="9" t="str">
        <f t="shared" si="1"/>
        <v/>
      </c>
      <c r="AC34" s="9">
        <v>0.46800000000000003</v>
      </c>
      <c r="AD34" s="9" t="str">
        <f t="shared" si="1"/>
        <v/>
      </c>
    </row>
    <row r="35" spans="1:30" x14ac:dyDescent="0.25">
      <c r="A35" t="s">
        <v>40</v>
      </c>
      <c r="B35" s="9">
        <v>1.7969999999999999E-5</v>
      </c>
      <c r="C35" s="9" t="str">
        <f t="shared" si="0"/>
        <v/>
      </c>
      <c r="D35" s="9" t="str">
        <f>+CONCATENATE(ROUND(B35,3), " ",C35)</f>
        <v xml:space="preserve">0 </v>
      </c>
      <c r="E35" s="9">
        <v>-4.0630000000000002E-5</v>
      </c>
      <c r="F35" s="9" t="str">
        <f t="shared" si="0"/>
        <v/>
      </c>
      <c r="G35" s="9">
        <v>6.6790000000000003E-5</v>
      </c>
      <c r="H35" s="9" t="str">
        <f t="shared" si="0"/>
        <v/>
      </c>
      <c r="I35" s="9">
        <v>6.635E-5</v>
      </c>
      <c r="J35" s="9" t="str">
        <f t="shared" si="0"/>
        <v/>
      </c>
      <c r="K35" s="9">
        <v>-2.107E-5</v>
      </c>
      <c r="L35" s="9" t="str">
        <f t="shared" si="0"/>
        <v/>
      </c>
      <c r="M35" s="9">
        <v>1.295E-5</v>
      </c>
      <c r="N35" s="9" t="str">
        <f t="shared" si="2"/>
        <v/>
      </c>
      <c r="O35" s="9">
        <v>-8.0000000000000004E-4</v>
      </c>
      <c r="P35" s="9" t="str">
        <f t="shared" si="2"/>
        <v>**</v>
      </c>
      <c r="Q35" s="9">
        <v>-5.9999999999999995E-4</v>
      </c>
      <c r="R35" s="9" t="str">
        <f t="shared" si="2"/>
        <v>**</v>
      </c>
      <c r="S35" s="9">
        <v>-2.0000000000000001E-4</v>
      </c>
      <c r="T35" s="9" t="str">
        <f t="shared" si="2"/>
        <v/>
      </c>
      <c r="U35" s="9">
        <v>-2.9999999999999997E-4</v>
      </c>
      <c r="V35" s="9" t="str">
        <f t="shared" si="2"/>
        <v/>
      </c>
      <c r="W35" s="9"/>
      <c r="X35" s="9" t="str">
        <f t="shared" si="2"/>
        <v>***</v>
      </c>
      <c r="Y35" s="9"/>
      <c r="Z35" s="9" t="str">
        <f t="shared" si="1"/>
        <v>***</v>
      </c>
      <c r="AA35" s="9"/>
      <c r="AB35" s="9" t="str">
        <f t="shared" si="1"/>
        <v>***</v>
      </c>
      <c r="AC35" s="9"/>
      <c r="AD35" s="9" t="str">
        <f t="shared" si="1"/>
        <v>***</v>
      </c>
    </row>
    <row r="36" spans="1:30" x14ac:dyDescent="0.25">
      <c r="B36" s="9">
        <v>0</v>
      </c>
      <c r="C36" s="9" t="str">
        <f t="shared" si="0"/>
        <v/>
      </c>
      <c r="D36" s="9" t="str">
        <f>+CONCATENATE("(",ROUND(B36,3),")")</f>
        <v>(0)</v>
      </c>
      <c r="E36" s="9">
        <v>0</v>
      </c>
      <c r="F36" s="9" t="str">
        <f t="shared" si="0"/>
        <v/>
      </c>
      <c r="G36" s="9">
        <v>0</v>
      </c>
      <c r="H36" s="9" t="str">
        <f t="shared" si="0"/>
        <v/>
      </c>
      <c r="I36" s="9">
        <v>0</v>
      </c>
      <c r="J36" s="9" t="str">
        <f t="shared" si="0"/>
        <v/>
      </c>
      <c r="K36" s="9">
        <v>0</v>
      </c>
      <c r="L36" s="9" t="str">
        <f t="shared" si="0"/>
        <v/>
      </c>
      <c r="M36" s="9">
        <v>0</v>
      </c>
      <c r="N36" s="9" t="str">
        <f t="shared" si="2"/>
        <v/>
      </c>
      <c r="O36" s="9">
        <v>0</v>
      </c>
      <c r="P36" s="9" t="str">
        <f t="shared" si="2"/>
        <v/>
      </c>
      <c r="Q36" s="9">
        <v>0</v>
      </c>
      <c r="R36" s="9" t="str">
        <f t="shared" si="2"/>
        <v/>
      </c>
      <c r="S36" s="9">
        <v>0</v>
      </c>
      <c r="T36" s="9" t="str">
        <f t="shared" si="2"/>
        <v/>
      </c>
      <c r="U36" s="9">
        <v>0</v>
      </c>
      <c r="V36" s="9" t="str">
        <f t="shared" si="2"/>
        <v/>
      </c>
      <c r="W36" s="9"/>
      <c r="X36" s="9" t="str">
        <f t="shared" si="2"/>
        <v/>
      </c>
      <c r="Y36" s="9"/>
      <c r="Z36" s="9" t="str">
        <f t="shared" si="1"/>
        <v/>
      </c>
      <c r="AA36" s="9"/>
      <c r="AB36" s="9" t="str">
        <f t="shared" si="1"/>
        <v/>
      </c>
      <c r="AC36" s="9"/>
      <c r="AD36" s="9" t="str">
        <f t="shared" si="1"/>
        <v/>
      </c>
    </row>
    <row r="37" spans="1:30" x14ac:dyDescent="0.25">
      <c r="B37" s="9">
        <v>0.91300000000000003</v>
      </c>
      <c r="C37" s="9" t="str">
        <f t="shared" si="0"/>
        <v/>
      </c>
      <c r="D37" s="9"/>
      <c r="E37" s="9">
        <v>0.79300000000000004</v>
      </c>
      <c r="F37" s="9" t="str">
        <f t="shared" si="0"/>
        <v/>
      </c>
      <c r="G37" s="9">
        <v>0.69699999999999995</v>
      </c>
      <c r="H37" s="9" t="str">
        <f t="shared" si="0"/>
        <v/>
      </c>
      <c r="I37" s="9">
        <v>0.68600000000000005</v>
      </c>
      <c r="J37" s="9" t="str">
        <f t="shared" si="0"/>
        <v/>
      </c>
      <c r="K37" s="9">
        <v>0.90100000000000002</v>
      </c>
      <c r="L37" s="9" t="str">
        <f t="shared" si="0"/>
        <v/>
      </c>
      <c r="M37" s="9">
        <v>0.93700000000000006</v>
      </c>
      <c r="N37" s="9" t="str">
        <f t="shared" si="2"/>
        <v/>
      </c>
      <c r="O37" s="9">
        <v>1.2E-2</v>
      </c>
      <c r="P37" s="9" t="str">
        <f t="shared" si="2"/>
        <v/>
      </c>
      <c r="Q37" s="9">
        <v>3.4000000000000002E-2</v>
      </c>
      <c r="R37" s="9" t="str">
        <f t="shared" si="2"/>
        <v/>
      </c>
      <c r="S37" s="9">
        <v>0.497</v>
      </c>
      <c r="T37" s="9" t="str">
        <f t="shared" si="2"/>
        <v/>
      </c>
      <c r="U37" s="9">
        <v>0.34</v>
      </c>
      <c r="V37" s="9" t="str">
        <f t="shared" si="2"/>
        <v/>
      </c>
      <c r="W37" s="9"/>
      <c r="X37" s="9" t="str">
        <f t="shared" si="2"/>
        <v/>
      </c>
      <c r="Y37" s="9"/>
      <c r="Z37" s="9" t="str">
        <f t="shared" si="1"/>
        <v/>
      </c>
      <c r="AA37" s="9"/>
      <c r="AB37" s="9" t="str">
        <f t="shared" si="1"/>
        <v/>
      </c>
      <c r="AC37" s="9"/>
      <c r="AD37" s="9" t="str">
        <f t="shared" si="1"/>
        <v/>
      </c>
    </row>
    <row r="38" spans="1:30" x14ac:dyDescent="0.25">
      <c r="A38" t="s">
        <v>41</v>
      </c>
      <c r="B38" s="9">
        <v>-5.9999999999999995E-4</v>
      </c>
      <c r="C38" s="9" t="str">
        <f t="shared" si="0"/>
        <v/>
      </c>
      <c r="D38" s="9" t="str">
        <f>+CONCATENATE(ROUND(B38,3), " ",C38)</f>
        <v xml:space="preserve">-0,001 </v>
      </c>
      <c r="E38" s="9">
        <v>-2.9999999999999997E-4</v>
      </c>
      <c r="F38" s="9" t="str">
        <f t="shared" si="0"/>
        <v/>
      </c>
      <c r="G38" s="9"/>
      <c r="H38" s="9" t="str">
        <f t="shared" si="0"/>
        <v>***</v>
      </c>
      <c r="I38" s="9"/>
      <c r="J38" s="9" t="str">
        <f t="shared" si="0"/>
        <v>***</v>
      </c>
      <c r="K38" s="9"/>
      <c r="L38" s="9" t="str">
        <f t="shared" si="0"/>
        <v>***</v>
      </c>
      <c r="M38" s="9"/>
      <c r="N38" s="9" t="str">
        <f t="shared" si="2"/>
        <v>***</v>
      </c>
      <c r="O38" s="9">
        <v>-2.0999999999999999E-3</v>
      </c>
      <c r="P38" s="9" t="str">
        <f t="shared" si="2"/>
        <v>***</v>
      </c>
      <c r="Q38" s="9">
        <v>-8.9999999999999998E-4</v>
      </c>
      <c r="R38" s="9" t="str">
        <f t="shared" si="2"/>
        <v/>
      </c>
      <c r="S38" s="9">
        <v>-2.3999999999999998E-3</v>
      </c>
      <c r="T38" s="9" t="str">
        <f t="shared" si="2"/>
        <v>***</v>
      </c>
      <c r="U38" s="9">
        <v>-1.1999999999999999E-3</v>
      </c>
      <c r="V38" s="9" t="str">
        <f t="shared" si="2"/>
        <v>*</v>
      </c>
      <c r="W38" s="9"/>
      <c r="X38" s="9" t="str">
        <f t="shared" si="2"/>
        <v>***</v>
      </c>
      <c r="Y38" s="9"/>
      <c r="Z38" s="9" t="str">
        <f t="shared" si="1"/>
        <v>***</v>
      </c>
      <c r="AA38" s="9"/>
      <c r="AB38" s="9" t="str">
        <f t="shared" si="1"/>
        <v>***</v>
      </c>
      <c r="AC38" s="9"/>
      <c r="AD38" s="9" t="str">
        <f t="shared" si="1"/>
        <v>***</v>
      </c>
    </row>
    <row r="39" spans="1:30" x14ac:dyDescent="0.25">
      <c r="B39" s="9">
        <v>0</v>
      </c>
      <c r="C39" s="9" t="str">
        <f t="shared" si="0"/>
        <v/>
      </c>
      <c r="D39" s="9" t="str">
        <f>+CONCATENATE("(",ROUND(B39,3),")")</f>
        <v>(0)</v>
      </c>
      <c r="E39" s="9">
        <v>0</v>
      </c>
      <c r="F39" s="9" t="str">
        <f t="shared" si="0"/>
        <v/>
      </c>
      <c r="G39" s="9"/>
      <c r="H39" s="9" t="str">
        <f t="shared" si="0"/>
        <v/>
      </c>
      <c r="I39" s="9"/>
      <c r="J39" s="9" t="str">
        <f t="shared" si="0"/>
        <v/>
      </c>
      <c r="K39" s="9"/>
      <c r="L39" s="9" t="str">
        <f t="shared" si="0"/>
        <v/>
      </c>
      <c r="M39" s="9"/>
      <c r="N39" s="9" t="str">
        <f t="shared" si="2"/>
        <v/>
      </c>
      <c r="O39" s="9">
        <v>1E-3</v>
      </c>
      <c r="P39" s="9" t="str">
        <f t="shared" si="2"/>
        <v/>
      </c>
      <c r="Q39" s="9">
        <v>1E-3</v>
      </c>
      <c r="R39" s="9" t="str">
        <f t="shared" si="2"/>
        <v/>
      </c>
      <c r="S39" s="9">
        <v>1E-3</v>
      </c>
      <c r="T39" s="9" t="str">
        <f t="shared" si="2"/>
        <v/>
      </c>
      <c r="U39" s="9">
        <v>1E-3</v>
      </c>
      <c r="V39" s="9" t="str">
        <f t="shared" si="2"/>
        <v/>
      </c>
      <c r="W39" s="9"/>
      <c r="X39" s="9" t="str">
        <f t="shared" si="2"/>
        <v/>
      </c>
      <c r="Y39" s="9"/>
      <c r="Z39" s="9" t="str">
        <f t="shared" si="1"/>
        <v/>
      </c>
      <c r="AA39" s="9"/>
      <c r="AB39" s="9" t="str">
        <f t="shared" si="1"/>
        <v/>
      </c>
      <c r="AC39" s="9"/>
      <c r="AD39" s="9" t="str">
        <f t="shared" si="1"/>
        <v/>
      </c>
    </row>
    <row r="40" spans="1:30" x14ac:dyDescent="0.25">
      <c r="B40" s="9">
        <v>0.104</v>
      </c>
      <c r="C40" s="9" t="str">
        <f t="shared" si="0"/>
        <v/>
      </c>
      <c r="D40" s="9"/>
      <c r="E40" s="9">
        <v>0.432</v>
      </c>
      <c r="F40" s="9" t="str">
        <f t="shared" si="0"/>
        <v/>
      </c>
      <c r="G40" s="9"/>
      <c r="H40" s="9" t="str">
        <f t="shared" si="0"/>
        <v/>
      </c>
      <c r="I40" s="9"/>
      <c r="J40" s="9" t="str">
        <f t="shared" si="0"/>
        <v/>
      </c>
      <c r="K40" s="9"/>
      <c r="L40" s="9" t="str">
        <f t="shared" si="0"/>
        <v/>
      </c>
      <c r="M40" s="9"/>
      <c r="N40" s="9" t="str">
        <f t="shared" si="2"/>
        <v/>
      </c>
      <c r="O40" s="9">
        <v>7.0000000000000001E-3</v>
      </c>
      <c r="P40" s="9" t="str">
        <f t="shared" si="2"/>
        <v/>
      </c>
      <c r="Q40" s="9">
        <v>0.186</v>
      </c>
      <c r="R40" s="9" t="str">
        <f t="shared" si="2"/>
        <v/>
      </c>
      <c r="S40" s="9">
        <v>2E-3</v>
      </c>
      <c r="T40" s="9" t="str">
        <f t="shared" si="2"/>
        <v/>
      </c>
      <c r="U40" s="9">
        <v>9.6000000000000002E-2</v>
      </c>
      <c r="V40" s="9" t="str">
        <f t="shared" si="2"/>
        <v/>
      </c>
      <c r="W40" s="9"/>
      <c r="X40" s="9" t="str">
        <f t="shared" si="2"/>
        <v/>
      </c>
      <c r="Y40" s="9"/>
      <c r="Z40" s="9" t="str">
        <f t="shared" si="1"/>
        <v/>
      </c>
      <c r="AA40" s="9"/>
      <c r="AB40" s="9" t="str">
        <f t="shared" si="1"/>
        <v/>
      </c>
      <c r="AC40" s="9"/>
      <c r="AD40" s="9" t="str">
        <f t="shared" si="1"/>
        <v/>
      </c>
    </row>
    <row r="41" spans="1:30" x14ac:dyDescent="0.25">
      <c r="A41" t="s">
        <v>42</v>
      </c>
      <c r="B41" s="9">
        <v>-3.9600000000000003E-2</v>
      </c>
      <c r="C41" s="9" t="str">
        <f t="shared" si="0"/>
        <v>***</v>
      </c>
      <c r="D41" s="9" t="str">
        <f>+CONCATENATE(ROUND(B41,3), " ",C41)</f>
        <v>-0,04 ***</v>
      </c>
      <c r="E41" s="9">
        <v>-4.2200000000000001E-2</v>
      </c>
      <c r="F41" s="9" t="str">
        <f t="shared" si="0"/>
        <v>***</v>
      </c>
      <c r="G41" s="9"/>
      <c r="H41" s="9" t="str">
        <f t="shared" si="0"/>
        <v>***</v>
      </c>
      <c r="I41" s="9"/>
      <c r="J41" s="9" t="str">
        <f t="shared" si="0"/>
        <v>***</v>
      </c>
      <c r="K41" s="9"/>
      <c r="L41" s="9" t="str">
        <f t="shared" si="0"/>
        <v>***</v>
      </c>
      <c r="M41" s="9"/>
      <c r="N41" s="9" t="str">
        <f t="shared" si="2"/>
        <v>***</v>
      </c>
      <c r="O41" s="9"/>
      <c r="P41" s="9" t="str">
        <f t="shared" si="2"/>
        <v>***</v>
      </c>
      <c r="Q41" s="9"/>
      <c r="R41" s="9" t="str">
        <f t="shared" si="2"/>
        <v>***</v>
      </c>
      <c r="S41" s="9"/>
      <c r="T41" s="9" t="str">
        <f t="shared" si="2"/>
        <v>***</v>
      </c>
      <c r="U41" s="9"/>
      <c r="V41" s="9" t="str">
        <f t="shared" si="2"/>
        <v>***</v>
      </c>
      <c r="W41" s="9">
        <v>-3.9600000000000003E-2</v>
      </c>
      <c r="X41" s="9" t="str">
        <f t="shared" si="2"/>
        <v>***</v>
      </c>
      <c r="Y41" s="9">
        <v>-4.2500000000000003E-2</v>
      </c>
      <c r="Z41" s="9" t="str">
        <f t="shared" si="1"/>
        <v>***</v>
      </c>
      <c r="AA41" s="9"/>
      <c r="AB41" s="9" t="str">
        <f t="shared" si="1"/>
        <v>***</v>
      </c>
      <c r="AC41" s="9"/>
      <c r="AD41" s="9" t="str">
        <f t="shared" si="1"/>
        <v>***</v>
      </c>
    </row>
    <row r="42" spans="1:30" x14ac:dyDescent="0.25">
      <c r="B42" s="9">
        <v>7.0000000000000001E-3</v>
      </c>
      <c r="C42" s="9" t="str">
        <f t="shared" si="0"/>
        <v/>
      </c>
      <c r="D42" s="9" t="str">
        <f>+CONCATENATE("(",ROUND(B42,3),")")</f>
        <v>(0,007)</v>
      </c>
      <c r="E42" s="9">
        <v>6.0000000000000001E-3</v>
      </c>
      <c r="F42" s="9" t="str">
        <f t="shared" si="0"/>
        <v/>
      </c>
      <c r="G42" s="9"/>
      <c r="H42" s="9" t="str">
        <f t="shared" si="0"/>
        <v/>
      </c>
      <c r="I42" s="9"/>
      <c r="J42" s="9" t="str">
        <f t="shared" si="0"/>
        <v/>
      </c>
      <c r="K42" s="9"/>
      <c r="L42" s="9" t="str">
        <f t="shared" si="0"/>
        <v/>
      </c>
      <c r="M42" s="9"/>
      <c r="N42" s="9" t="str">
        <f t="shared" si="2"/>
        <v/>
      </c>
      <c r="O42" s="9"/>
      <c r="P42" s="9" t="str">
        <f t="shared" si="2"/>
        <v/>
      </c>
      <c r="Q42" s="9"/>
      <c r="R42" s="9" t="str">
        <f t="shared" si="2"/>
        <v/>
      </c>
      <c r="S42" s="9"/>
      <c r="T42" s="9" t="str">
        <f t="shared" si="2"/>
        <v/>
      </c>
      <c r="U42" s="9"/>
      <c r="V42" s="9" t="str">
        <f t="shared" si="2"/>
        <v/>
      </c>
      <c r="W42" s="9">
        <v>7.0000000000000001E-3</v>
      </c>
      <c r="X42" s="9" t="str">
        <f t="shared" si="2"/>
        <v/>
      </c>
      <c r="Y42" s="9">
        <v>6.0000000000000001E-3</v>
      </c>
      <c r="Z42" s="9" t="str">
        <f t="shared" si="1"/>
        <v/>
      </c>
      <c r="AA42" s="9"/>
      <c r="AB42" s="9" t="str">
        <f t="shared" si="1"/>
        <v/>
      </c>
      <c r="AC42" s="9"/>
      <c r="AD42" s="9" t="str">
        <f t="shared" si="1"/>
        <v/>
      </c>
    </row>
    <row r="43" spans="1:30" x14ac:dyDescent="0.25">
      <c r="B43" s="9">
        <v>0</v>
      </c>
      <c r="C43" s="9" t="str">
        <f t="shared" si="0"/>
        <v/>
      </c>
      <c r="D43" s="9"/>
      <c r="E43" s="9">
        <v>0</v>
      </c>
      <c r="F43" s="9" t="str">
        <f t="shared" si="0"/>
        <v/>
      </c>
      <c r="G43" s="9"/>
      <c r="H43" s="9" t="str">
        <f t="shared" si="0"/>
        <v/>
      </c>
      <c r="I43" s="9"/>
      <c r="J43" s="9" t="str">
        <f t="shared" si="0"/>
        <v/>
      </c>
      <c r="K43" s="9"/>
      <c r="L43" s="9" t="str">
        <f t="shared" si="0"/>
        <v/>
      </c>
      <c r="M43" s="9"/>
      <c r="N43" s="9" t="str">
        <f t="shared" si="2"/>
        <v/>
      </c>
      <c r="O43" s="9"/>
      <c r="P43" s="9" t="str">
        <f t="shared" si="2"/>
        <v/>
      </c>
      <c r="Q43" s="9"/>
      <c r="R43" s="9" t="str">
        <f t="shared" si="2"/>
        <v/>
      </c>
      <c r="S43" s="9"/>
      <c r="T43" s="9" t="str">
        <f t="shared" si="2"/>
        <v/>
      </c>
      <c r="U43" s="9"/>
      <c r="V43" s="9" t="str">
        <f t="shared" si="2"/>
        <v/>
      </c>
      <c r="W43" s="9">
        <v>0</v>
      </c>
      <c r="X43" s="9" t="str">
        <f t="shared" si="2"/>
        <v/>
      </c>
      <c r="Y43" s="9">
        <v>0</v>
      </c>
      <c r="Z43" s="9" t="str">
        <f t="shared" si="1"/>
        <v/>
      </c>
      <c r="AA43" s="9"/>
      <c r="AB43" s="9" t="str">
        <f t="shared" si="1"/>
        <v/>
      </c>
      <c r="AC43" s="9"/>
      <c r="AD43" s="9" t="str">
        <f t="shared" si="1"/>
        <v/>
      </c>
    </row>
    <row r="44" spans="1:30" x14ac:dyDescent="0.25">
      <c r="A44" t="s">
        <v>43</v>
      </c>
      <c r="B44" s="9">
        <v>0.09</v>
      </c>
      <c r="C44" s="9" t="str">
        <f t="shared" si="0"/>
        <v>***</v>
      </c>
      <c r="D44" s="9" t="str">
        <f>+CONCATENATE(ROUND(B44,3), " ",C44)</f>
        <v>0,09 ***</v>
      </c>
      <c r="E44" s="9">
        <v>9.1600000000000001E-2</v>
      </c>
      <c r="F44" s="9" t="str">
        <f t="shared" si="0"/>
        <v>***</v>
      </c>
      <c r="G44" s="9">
        <v>4.9200000000000001E-2</v>
      </c>
      <c r="H44" s="9" t="str">
        <f t="shared" si="0"/>
        <v>***</v>
      </c>
      <c r="I44" s="9">
        <v>4.8399999999999999E-2</v>
      </c>
      <c r="J44" s="9" t="str">
        <f t="shared" si="0"/>
        <v>***</v>
      </c>
      <c r="K44" s="9">
        <v>4.8500000000000001E-2</v>
      </c>
      <c r="L44" s="9" t="str">
        <f t="shared" si="0"/>
        <v>***</v>
      </c>
      <c r="M44" s="9">
        <v>4.7699999999999999E-2</v>
      </c>
      <c r="N44" s="9" t="str">
        <f t="shared" si="2"/>
        <v>***</v>
      </c>
      <c r="O44" s="9"/>
      <c r="P44" s="9" t="str">
        <f t="shared" si="2"/>
        <v>***</v>
      </c>
      <c r="Q44" s="9"/>
      <c r="R44" s="9" t="str">
        <f t="shared" si="2"/>
        <v>***</v>
      </c>
      <c r="S44" s="9"/>
      <c r="T44" s="9" t="str">
        <f t="shared" si="2"/>
        <v>***</v>
      </c>
      <c r="U44" s="9"/>
      <c r="V44" s="9" t="str">
        <f t="shared" si="2"/>
        <v>***</v>
      </c>
      <c r="W44" s="9">
        <v>9.0399999999999994E-2</v>
      </c>
      <c r="X44" s="9" t="str">
        <f t="shared" ref="X44:AD58" si="3">+IF($A44&lt;&gt;"",IF(W46&lt;0.01,"***",IF(W46&lt;0.05,"**",IF(W46&lt;0.1,"*",""))),"")</f>
        <v>***</v>
      </c>
      <c r="Y44" s="9">
        <v>9.1999999999999998E-2</v>
      </c>
      <c r="Z44" s="9" t="str">
        <f t="shared" si="3"/>
        <v>***</v>
      </c>
      <c r="AA44" s="9">
        <v>4.8599999999999997E-2</v>
      </c>
      <c r="AB44" s="9" t="str">
        <f t="shared" si="3"/>
        <v>***</v>
      </c>
      <c r="AC44" s="9">
        <v>4.7899999999999998E-2</v>
      </c>
      <c r="AD44" s="9" t="str">
        <f t="shared" si="3"/>
        <v>***</v>
      </c>
    </row>
    <row r="45" spans="1:30" x14ac:dyDescent="0.25">
      <c r="B45" s="9">
        <v>7.0000000000000001E-3</v>
      </c>
      <c r="C45" s="9" t="str">
        <f t="shared" si="0"/>
        <v/>
      </c>
      <c r="D45" s="9" t="str">
        <f>+CONCATENATE("(",ROUND(B45,3),")")</f>
        <v>(0,007)</v>
      </c>
      <c r="E45" s="9">
        <v>7.0000000000000001E-3</v>
      </c>
      <c r="F45" s="9" t="str">
        <f t="shared" si="0"/>
        <v/>
      </c>
      <c r="G45" s="9">
        <v>1E-3</v>
      </c>
      <c r="H45" s="9" t="str">
        <f t="shared" si="0"/>
        <v/>
      </c>
      <c r="I45" s="9">
        <v>1E-3</v>
      </c>
      <c r="J45" s="9" t="str">
        <f t="shared" si="0"/>
        <v/>
      </c>
      <c r="K45" s="9">
        <v>1E-3</v>
      </c>
      <c r="L45" s="9" t="str">
        <f t="shared" si="0"/>
        <v/>
      </c>
      <c r="M45" s="9">
        <v>1E-3</v>
      </c>
      <c r="N45" s="9" t="str">
        <f t="shared" si="2"/>
        <v/>
      </c>
      <c r="O45" s="9"/>
      <c r="P45" s="9" t="str">
        <f t="shared" si="2"/>
        <v/>
      </c>
      <c r="Q45" s="9"/>
      <c r="R45" s="9" t="str">
        <f t="shared" si="2"/>
        <v/>
      </c>
      <c r="S45" s="9"/>
      <c r="T45" s="9" t="str">
        <f t="shared" si="2"/>
        <v/>
      </c>
      <c r="U45" s="9"/>
      <c r="V45" s="9" t="str">
        <f t="shared" si="2"/>
        <v/>
      </c>
      <c r="W45" s="9">
        <v>7.0000000000000001E-3</v>
      </c>
      <c r="X45" s="9" t="str">
        <f t="shared" si="3"/>
        <v/>
      </c>
      <c r="Y45" s="9">
        <v>7.0000000000000001E-3</v>
      </c>
      <c r="Z45" s="9" t="str">
        <f t="shared" si="3"/>
        <v/>
      </c>
      <c r="AA45" s="9">
        <v>1E-3</v>
      </c>
      <c r="AB45" s="9" t="str">
        <f t="shared" si="3"/>
        <v/>
      </c>
      <c r="AC45" s="9">
        <v>1E-3</v>
      </c>
      <c r="AD45" s="9" t="str">
        <f t="shared" si="3"/>
        <v/>
      </c>
    </row>
    <row r="46" spans="1:30" x14ac:dyDescent="0.25">
      <c r="B46" s="9">
        <v>0</v>
      </c>
      <c r="C46" s="9" t="str">
        <f t="shared" si="0"/>
        <v/>
      </c>
      <c r="D46" s="9"/>
      <c r="E46" s="9">
        <v>0</v>
      </c>
      <c r="F46" s="9" t="str">
        <f t="shared" si="0"/>
        <v/>
      </c>
      <c r="G46" s="9">
        <v>0</v>
      </c>
      <c r="H46" s="9" t="str">
        <f t="shared" si="0"/>
        <v/>
      </c>
      <c r="I46" s="9">
        <v>0</v>
      </c>
      <c r="J46" s="9" t="str">
        <f t="shared" si="0"/>
        <v/>
      </c>
      <c r="K46" s="9">
        <v>0</v>
      </c>
      <c r="L46" s="9" t="str">
        <f t="shared" si="0"/>
        <v/>
      </c>
      <c r="M46" s="9">
        <v>0</v>
      </c>
      <c r="N46" s="9" t="str">
        <f t="shared" si="2"/>
        <v/>
      </c>
      <c r="O46" s="9"/>
      <c r="P46" s="9" t="str">
        <f t="shared" si="2"/>
        <v/>
      </c>
      <c r="Q46" s="9"/>
      <c r="R46" s="9" t="str">
        <f t="shared" si="2"/>
        <v/>
      </c>
      <c r="S46" s="9"/>
      <c r="T46" s="9" t="str">
        <f t="shared" si="2"/>
        <v/>
      </c>
      <c r="U46" s="9"/>
      <c r="V46" s="9" t="str">
        <f t="shared" si="2"/>
        <v/>
      </c>
      <c r="W46" s="9">
        <v>0</v>
      </c>
      <c r="X46" s="9" t="str">
        <f t="shared" si="3"/>
        <v/>
      </c>
      <c r="Y46" s="9">
        <v>0</v>
      </c>
      <c r="Z46" s="9" t="str">
        <f t="shared" si="3"/>
        <v/>
      </c>
      <c r="AA46" s="9">
        <v>0</v>
      </c>
      <c r="AB46" s="9" t="str">
        <f t="shared" si="3"/>
        <v/>
      </c>
      <c r="AC46" s="9">
        <v>0</v>
      </c>
      <c r="AD46" s="9" t="str">
        <f t="shared" si="3"/>
        <v/>
      </c>
    </row>
    <row r="47" spans="1:30" x14ac:dyDescent="0.25">
      <c r="A47" t="s">
        <v>44</v>
      </c>
      <c r="B47" s="9">
        <v>2.7000000000000001E-3</v>
      </c>
      <c r="C47" s="9" t="str">
        <f t="shared" si="0"/>
        <v/>
      </c>
      <c r="D47" s="9" t="str">
        <f>+CONCATENATE(ROUND(B47,3), " ",C47)</f>
        <v xml:space="preserve">0,003 </v>
      </c>
      <c r="E47" s="9">
        <v>-3.8E-3</v>
      </c>
      <c r="F47" s="9" t="str">
        <f t="shared" si="0"/>
        <v/>
      </c>
      <c r="G47" s="9">
        <v>8.9999999999999998E-4</v>
      </c>
      <c r="H47" s="9" t="str">
        <f t="shared" si="0"/>
        <v/>
      </c>
      <c r="I47" s="9">
        <v>-4.1999999999999997E-3</v>
      </c>
      <c r="J47" s="9" t="str">
        <f t="shared" si="0"/>
        <v/>
      </c>
      <c r="K47" s="9"/>
      <c r="L47" s="9" t="str">
        <f t="shared" si="0"/>
        <v>***</v>
      </c>
      <c r="M47" s="9"/>
      <c r="N47" s="9" t="str">
        <f t="shared" si="2"/>
        <v>***</v>
      </c>
      <c r="O47" s="9">
        <v>3.5000000000000003E-2</v>
      </c>
      <c r="P47" s="9" t="str">
        <f t="shared" si="2"/>
        <v>***</v>
      </c>
      <c r="Q47" s="9">
        <v>2.18E-2</v>
      </c>
      <c r="R47" s="9" t="str">
        <f t="shared" si="2"/>
        <v>*</v>
      </c>
      <c r="S47" s="9">
        <v>1.46E-2</v>
      </c>
      <c r="T47" s="9" t="str">
        <f t="shared" si="2"/>
        <v/>
      </c>
      <c r="U47" s="9">
        <v>3.3999999999999998E-3</v>
      </c>
      <c r="V47" s="9" t="str">
        <f t="shared" si="2"/>
        <v/>
      </c>
      <c r="W47" s="9">
        <v>2.5999999999999999E-3</v>
      </c>
      <c r="X47" s="9" t="str">
        <f t="shared" si="3"/>
        <v/>
      </c>
      <c r="Y47" s="9">
        <v>-4.8999999999999998E-3</v>
      </c>
      <c r="Z47" s="9" t="str">
        <f t="shared" si="3"/>
        <v/>
      </c>
      <c r="AA47" s="9"/>
      <c r="AB47" s="9" t="str">
        <f t="shared" si="3"/>
        <v>***</v>
      </c>
      <c r="AC47" s="9"/>
      <c r="AD47" s="9" t="str">
        <f t="shared" si="3"/>
        <v>***</v>
      </c>
    </row>
    <row r="48" spans="1:30" x14ac:dyDescent="0.25">
      <c r="B48" s="9">
        <v>6.0000000000000001E-3</v>
      </c>
      <c r="C48" s="9" t="str">
        <f t="shared" si="0"/>
        <v/>
      </c>
      <c r="D48" s="9" t="str">
        <f>+CONCATENATE("(",ROUND(B48,3),")")</f>
        <v>(0,006)</v>
      </c>
      <c r="E48" s="9">
        <v>7.0000000000000001E-3</v>
      </c>
      <c r="F48" s="9" t="str">
        <f t="shared" si="0"/>
        <v/>
      </c>
      <c r="G48" s="9">
        <v>6.0000000000000001E-3</v>
      </c>
      <c r="H48" s="9" t="str">
        <f t="shared" si="0"/>
        <v/>
      </c>
      <c r="I48" s="9">
        <v>7.0000000000000001E-3</v>
      </c>
      <c r="J48" s="9" t="str">
        <f t="shared" si="0"/>
        <v/>
      </c>
      <c r="K48" s="9"/>
      <c r="L48" s="9" t="str">
        <f t="shared" si="0"/>
        <v/>
      </c>
      <c r="M48" s="9"/>
      <c r="N48" s="9" t="str">
        <f t="shared" si="2"/>
        <v/>
      </c>
      <c r="O48" s="9">
        <v>1.2E-2</v>
      </c>
      <c r="P48" s="9" t="str">
        <f t="shared" si="2"/>
        <v/>
      </c>
      <c r="Q48" s="9">
        <v>1.2999999999999999E-2</v>
      </c>
      <c r="R48" s="9" t="str">
        <f t="shared" si="2"/>
        <v/>
      </c>
      <c r="S48" s="9">
        <v>1.2E-2</v>
      </c>
      <c r="T48" s="9" t="str">
        <f t="shared" si="2"/>
        <v/>
      </c>
      <c r="U48" s="9">
        <v>1.2999999999999999E-2</v>
      </c>
      <c r="V48" s="9" t="str">
        <f t="shared" si="2"/>
        <v/>
      </c>
      <c r="W48" s="9">
        <v>6.0000000000000001E-3</v>
      </c>
      <c r="X48" s="9" t="str">
        <f t="shared" si="3"/>
        <v/>
      </c>
      <c r="Y48" s="9">
        <v>7.0000000000000001E-3</v>
      </c>
      <c r="Z48" s="9" t="str">
        <f t="shared" si="3"/>
        <v/>
      </c>
      <c r="AA48" s="9"/>
      <c r="AB48" s="9" t="str">
        <f t="shared" si="3"/>
        <v/>
      </c>
      <c r="AC48" s="9"/>
      <c r="AD48" s="9" t="str">
        <f t="shared" si="3"/>
        <v/>
      </c>
    </row>
    <row r="49" spans="1:30" x14ac:dyDescent="0.25">
      <c r="B49" s="9">
        <v>0.65200000000000002</v>
      </c>
      <c r="C49" s="9" t="str">
        <f t="shared" si="0"/>
        <v/>
      </c>
      <c r="D49" s="9"/>
      <c r="E49" s="9">
        <v>0.57399999999999995</v>
      </c>
      <c r="F49" s="9" t="str">
        <f t="shared" si="0"/>
        <v/>
      </c>
      <c r="G49" s="9">
        <v>0.88500000000000001</v>
      </c>
      <c r="H49" s="9" t="str">
        <f t="shared" si="0"/>
        <v/>
      </c>
      <c r="I49" s="9">
        <v>0.54900000000000004</v>
      </c>
      <c r="J49" s="9" t="str">
        <f t="shared" si="0"/>
        <v/>
      </c>
      <c r="K49" s="9"/>
      <c r="L49" s="9" t="str">
        <f t="shared" si="0"/>
        <v/>
      </c>
      <c r="M49" s="9"/>
      <c r="N49" s="9" t="str">
        <f t="shared" si="2"/>
        <v/>
      </c>
      <c r="O49" s="9">
        <v>3.0000000000000001E-3</v>
      </c>
      <c r="P49" s="9" t="str">
        <f t="shared" si="2"/>
        <v/>
      </c>
      <c r="Q49" s="9">
        <v>8.3000000000000004E-2</v>
      </c>
      <c r="R49" s="9" t="str">
        <f t="shared" si="2"/>
        <v/>
      </c>
      <c r="S49" s="9">
        <v>0.20699999999999999</v>
      </c>
      <c r="T49" s="9" t="str">
        <f t="shared" si="2"/>
        <v/>
      </c>
      <c r="U49" s="9">
        <v>0.79100000000000004</v>
      </c>
      <c r="V49" s="9" t="str">
        <f t="shared" si="2"/>
        <v/>
      </c>
      <c r="W49" s="9">
        <v>0.66300000000000003</v>
      </c>
      <c r="X49" s="9" t="str">
        <f t="shared" si="3"/>
        <v/>
      </c>
      <c r="Y49" s="9">
        <v>0.46400000000000002</v>
      </c>
      <c r="Z49" s="9" t="str">
        <f t="shared" si="3"/>
        <v/>
      </c>
      <c r="AA49" s="9"/>
      <c r="AB49" s="9" t="str">
        <f t="shared" si="3"/>
        <v/>
      </c>
      <c r="AC49" s="9"/>
      <c r="AD49" s="9" t="str">
        <f t="shared" si="3"/>
        <v/>
      </c>
    </row>
    <row r="50" spans="1:30" x14ac:dyDescent="0.25">
      <c r="A50" t="s">
        <v>45</v>
      </c>
      <c r="B50" s="9">
        <v>1.61E-2</v>
      </c>
      <c r="C50" s="9" t="str">
        <f t="shared" si="0"/>
        <v>**</v>
      </c>
      <c r="D50" s="9" t="str">
        <f>+CONCATENATE(ROUND(B50,3), " ",C50)</f>
        <v>0,016 **</v>
      </c>
      <c r="E50" s="9">
        <v>1.41E-2</v>
      </c>
      <c r="F50" s="9" t="str">
        <f t="shared" si="0"/>
        <v>**</v>
      </c>
      <c r="G50" s="9">
        <v>1.9400000000000001E-2</v>
      </c>
      <c r="H50" s="9" t="str">
        <f t="shared" si="0"/>
        <v>***</v>
      </c>
      <c r="I50" s="9">
        <v>1.54E-2</v>
      </c>
      <c r="J50" s="9" t="str">
        <f t="shared" si="0"/>
        <v>**</v>
      </c>
      <c r="K50" s="9"/>
      <c r="L50" s="9" t="str">
        <f t="shared" si="0"/>
        <v>***</v>
      </c>
      <c r="M50" s="9"/>
      <c r="N50" s="9" t="str">
        <f t="shared" si="2"/>
        <v>***</v>
      </c>
      <c r="O50" s="9"/>
      <c r="P50" s="9" t="str">
        <f t="shared" si="2"/>
        <v>***</v>
      </c>
      <c r="Q50" s="9"/>
      <c r="R50" s="9" t="str">
        <f t="shared" si="2"/>
        <v>***</v>
      </c>
      <c r="S50" s="9">
        <v>6.2300000000000001E-2</v>
      </c>
      <c r="T50" s="9" t="str">
        <f t="shared" si="2"/>
        <v>***</v>
      </c>
      <c r="U50" s="9">
        <v>3.8300000000000001E-2</v>
      </c>
      <c r="V50" s="9" t="str">
        <f t="shared" si="2"/>
        <v>***</v>
      </c>
      <c r="W50" s="9"/>
      <c r="X50" s="9" t="str">
        <f t="shared" si="3"/>
        <v>***</v>
      </c>
      <c r="Y50" s="9"/>
      <c r="Z50" s="9" t="str">
        <f t="shared" si="3"/>
        <v>***</v>
      </c>
      <c r="AA50" s="9">
        <v>1.84E-2</v>
      </c>
      <c r="AB50" s="9" t="str">
        <f t="shared" si="3"/>
        <v>***</v>
      </c>
      <c r="AC50" s="9">
        <v>1.5699999999999999E-2</v>
      </c>
      <c r="AD50" s="9" t="str">
        <f t="shared" si="3"/>
        <v>**</v>
      </c>
    </row>
    <row r="51" spans="1:30" x14ac:dyDescent="0.25">
      <c r="B51" s="9">
        <v>7.0000000000000001E-3</v>
      </c>
      <c r="C51" s="9" t="str">
        <f t="shared" si="0"/>
        <v/>
      </c>
      <c r="D51" s="9" t="str">
        <f>+CONCATENATE("(",ROUND(B51,3),")")</f>
        <v>(0,007)</v>
      </c>
      <c r="E51" s="9">
        <v>7.0000000000000001E-3</v>
      </c>
      <c r="F51" s="9" t="str">
        <f t="shared" si="0"/>
        <v/>
      </c>
      <c r="G51" s="9">
        <v>7.0000000000000001E-3</v>
      </c>
      <c r="H51" s="9" t="str">
        <f t="shared" si="0"/>
        <v/>
      </c>
      <c r="I51" s="9">
        <v>7.0000000000000001E-3</v>
      </c>
      <c r="J51" s="9" t="str">
        <f t="shared" si="0"/>
        <v/>
      </c>
      <c r="K51" s="9"/>
      <c r="L51" s="9" t="str">
        <f t="shared" si="0"/>
        <v/>
      </c>
      <c r="M51" s="9"/>
      <c r="N51" s="9" t="str">
        <f t="shared" si="2"/>
        <v/>
      </c>
      <c r="O51" s="9"/>
      <c r="P51" s="9" t="str">
        <f t="shared" si="2"/>
        <v/>
      </c>
      <c r="Q51" s="9"/>
      <c r="R51" s="9" t="str">
        <f t="shared" si="2"/>
        <v/>
      </c>
      <c r="S51" s="9">
        <v>1.4E-2</v>
      </c>
      <c r="T51" s="9" t="str">
        <f t="shared" si="2"/>
        <v/>
      </c>
      <c r="U51" s="9">
        <v>1.2999999999999999E-2</v>
      </c>
      <c r="V51" s="9" t="str">
        <f t="shared" si="2"/>
        <v/>
      </c>
      <c r="W51" s="9"/>
      <c r="X51" s="9" t="str">
        <f t="shared" si="3"/>
        <v/>
      </c>
      <c r="Y51" s="9"/>
      <c r="Z51" s="9" t="str">
        <f t="shared" si="3"/>
        <v/>
      </c>
      <c r="AA51" s="9">
        <v>7.0000000000000001E-3</v>
      </c>
      <c r="AB51" s="9" t="str">
        <f t="shared" si="3"/>
        <v/>
      </c>
      <c r="AC51" s="9">
        <v>7.0000000000000001E-3</v>
      </c>
      <c r="AD51" s="9" t="str">
        <f t="shared" si="3"/>
        <v/>
      </c>
    </row>
    <row r="52" spans="1:30" x14ac:dyDescent="0.25">
      <c r="B52" s="9">
        <v>2.1000000000000001E-2</v>
      </c>
      <c r="C52" s="9" t="str">
        <f t="shared" si="0"/>
        <v/>
      </c>
      <c r="D52" s="9"/>
      <c r="E52" s="9">
        <v>3.9E-2</v>
      </c>
      <c r="F52" s="9" t="str">
        <f t="shared" si="0"/>
        <v/>
      </c>
      <c r="G52" s="9">
        <v>7.0000000000000001E-3</v>
      </c>
      <c r="H52" s="9" t="str">
        <f t="shared" si="0"/>
        <v/>
      </c>
      <c r="I52" s="9">
        <v>3.2000000000000001E-2</v>
      </c>
      <c r="J52" s="9" t="str">
        <f t="shared" si="0"/>
        <v/>
      </c>
      <c r="K52" s="9"/>
      <c r="L52" s="9" t="str">
        <f t="shared" si="0"/>
        <v/>
      </c>
      <c r="M52" s="9"/>
      <c r="N52" s="9" t="str">
        <f t="shared" si="2"/>
        <v/>
      </c>
      <c r="O52" s="9"/>
      <c r="P52" s="9" t="str">
        <f t="shared" si="2"/>
        <v/>
      </c>
      <c r="Q52" s="9"/>
      <c r="R52" s="9" t="str">
        <f t="shared" si="2"/>
        <v/>
      </c>
      <c r="S52" s="9">
        <v>0</v>
      </c>
      <c r="T52" s="9" t="str">
        <f t="shared" si="2"/>
        <v/>
      </c>
      <c r="U52" s="9">
        <v>4.0000000000000001E-3</v>
      </c>
      <c r="V52" s="9" t="str">
        <f t="shared" si="2"/>
        <v/>
      </c>
      <c r="W52" s="9"/>
      <c r="X52" s="9" t="str">
        <f t="shared" si="3"/>
        <v/>
      </c>
      <c r="Y52" s="9"/>
      <c r="Z52" s="9" t="str">
        <f t="shared" si="3"/>
        <v/>
      </c>
      <c r="AA52" s="9">
        <v>8.0000000000000002E-3</v>
      </c>
      <c r="AB52" s="9" t="str">
        <f t="shared" si="3"/>
        <v/>
      </c>
      <c r="AC52" s="9">
        <v>2.8000000000000001E-2</v>
      </c>
      <c r="AD52" s="9" t="str">
        <f t="shared" si="3"/>
        <v/>
      </c>
    </row>
    <row r="53" spans="1:30" x14ac:dyDescent="0.25">
      <c r="A53" t="s">
        <v>46</v>
      </c>
      <c r="B53" s="9">
        <v>0.28289999999999998</v>
      </c>
      <c r="C53" s="9" t="str">
        <f t="shared" si="0"/>
        <v>***</v>
      </c>
      <c r="D53" s="9" t="str">
        <f>+CONCATENATE(ROUND(B53,3), " ",C53)</f>
        <v>0,283 ***</v>
      </c>
      <c r="E53" s="9">
        <v>0.2601</v>
      </c>
      <c r="F53" s="9" t="str">
        <f t="shared" si="0"/>
        <v>***</v>
      </c>
      <c r="G53" s="9"/>
      <c r="H53" s="9" t="str">
        <f t="shared" si="0"/>
        <v>***</v>
      </c>
      <c r="I53" s="9"/>
      <c r="J53" s="9" t="str">
        <f t="shared" si="0"/>
        <v>***</v>
      </c>
      <c r="K53" s="9"/>
      <c r="L53" s="9" t="str">
        <f t="shared" si="0"/>
        <v>***</v>
      </c>
      <c r="M53" s="9"/>
      <c r="N53" s="9" t="str">
        <f t="shared" si="2"/>
        <v>***</v>
      </c>
      <c r="O53" s="9">
        <v>-0.27910000000000001</v>
      </c>
      <c r="P53" s="9" t="str">
        <f t="shared" si="2"/>
        <v>***</v>
      </c>
      <c r="Q53" s="9">
        <v>-0.47010000000000002</v>
      </c>
      <c r="R53" s="9" t="str">
        <f t="shared" si="2"/>
        <v>***</v>
      </c>
      <c r="S53" s="9"/>
      <c r="T53" s="9" t="str">
        <f t="shared" si="2"/>
        <v>***</v>
      </c>
      <c r="U53" s="9"/>
      <c r="V53" s="9" t="str">
        <f t="shared" si="2"/>
        <v>***</v>
      </c>
      <c r="W53" s="9">
        <v>0.27829999999999999</v>
      </c>
      <c r="X53" s="9" t="str">
        <f t="shared" si="3"/>
        <v>***</v>
      </c>
      <c r="Y53" s="9">
        <v>0.24729999999999999</v>
      </c>
      <c r="Z53" s="9" t="str">
        <f t="shared" si="3"/>
        <v>***</v>
      </c>
      <c r="AA53" s="9"/>
      <c r="AB53" s="9" t="str">
        <f t="shared" si="3"/>
        <v>***</v>
      </c>
      <c r="AC53" s="9"/>
      <c r="AD53" s="9" t="str">
        <f t="shared" si="3"/>
        <v>***</v>
      </c>
    </row>
    <row r="54" spans="1:30" x14ac:dyDescent="0.25">
      <c r="B54" s="9">
        <v>5.1999999999999998E-2</v>
      </c>
      <c r="C54" s="9" t="str">
        <f t="shared" si="0"/>
        <v/>
      </c>
      <c r="D54" s="9" t="str">
        <f>+CONCATENATE("(",ROUND(B54,3),")")</f>
        <v>(0,052)</v>
      </c>
      <c r="E54" s="9">
        <v>6.4000000000000001E-2</v>
      </c>
      <c r="F54" s="9" t="str">
        <f t="shared" si="0"/>
        <v/>
      </c>
      <c r="G54" s="9"/>
      <c r="H54" s="9" t="str">
        <f t="shared" si="0"/>
        <v/>
      </c>
      <c r="I54" s="9"/>
      <c r="J54" s="9" t="str">
        <f t="shared" si="0"/>
        <v/>
      </c>
      <c r="K54" s="9"/>
      <c r="L54" s="9" t="str">
        <f t="shared" si="0"/>
        <v/>
      </c>
      <c r="M54" s="9"/>
      <c r="N54" s="9" t="str">
        <f t="shared" si="2"/>
        <v/>
      </c>
      <c r="O54" s="9">
        <v>0.10100000000000001</v>
      </c>
      <c r="P54" s="9" t="str">
        <f t="shared" si="2"/>
        <v/>
      </c>
      <c r="Q54" s="9">
        <v>0.112</v>
      </c>
      <c r="R54" s="9" t="str">
        <f t="shared" si="2"/>
        <v/>
      </c>
      <c r="S54" s="9"/>
      <c r="T54" s="9" t="str">
        <f t="shared" si="2"/>
        <v/>
      </c>
      <c r="U54" s="9"/>
      <c r="V54" s="9" t="str">
        <f t="shared" si="2"/>
        <v/>
      </c>
      <c r="W54" s="9">
        <v>5.0999999999999997E-2</v>
      </c>
      <c r="X54" s="9" t="str">
        <f t="shared" si="3"/>
        <v/>
      </c>
      <c r="Y54" s="9">
        <v>6.4000000000000001E-2</v>
      </c>
      <c r="Z54" s="9" t="str">
        <f t="shared" si="3"/>
        <v/>
      </c>
      <c r="AA54" s="9"/>
      <c r="AB54" s="9" t="str">
        <f t="shared" si="3"/>
        <v/>
      </c>
      <c r="AC54" s="9"/>
      <c r="AD54" s="9" t="str">
        <f t="shared" si="3"/>
        <v/>
      </c>
    </row>
    <row r="55" spans="1:30" x14ac:dyDescent="0.25">
      <c r="B55" s="9">
        <v>0</v>
      </c>
      <c r="C55" s="9" t="str">
        <f t="shared" si="0"/>
        <v/>
      </c>
      <c r="D55" s="9"/>
      <c r="E55" s="9">
        <v>0</v>
      </c>
      <c r="F55" s="9" t="str">
        <f t="shared" si="0"/>
        <v/>
      </c>
      <c r="G55" s="9"/>
      <c r="H55" s="9" t="str">
        <f t="shared" si="0"/>
        <v/>
      </c>
      <c r="I55" s="9"/>
      <c r="J55" s="9" t="str">
        <f t="shared" si="0"/>
        <v/>
      </c>
      <c r="K55" s="9"/>
      <c r="L55" s="9" t="str">
        <f t="shared" si="0"/>
        <v/>
      </c>
      <c r="M55" s="9"/>
      <c r="N55" s="9" t="str">
        <f t="shared" si="2"/>
        <v/>
      </c>
      <c r="O55" s="9">
        <v>6.0000000000000001E-3</v>
      </c>
      <c r="P55" s="9" t="str">
        <f t="shared" si="2"/>
        <v/>
      </c>
      <c r="Q55" s="9">
        <v>0</v>
      </c>
      <c r="R55" s="9" t="str">
        <f t="shared" si="2"/>
        <v/>
      </c>
      <c r="S55" s="9"/>
      <c r="T55" s="9" t="str">
        <f t="shared" si="2"/>
        <v/>
      </c>
      <c r="U55" s="9"/>
      <c r="V55" s="9" t="str">
        <f t="shared" si="2"/>
        <v/>
      </c>
      <c r="W55" s="9">
        <v>0</v>
      </c>
      <c r="X55" s="9" t="str">
        <f t="shared" si="3"/>
        <v/>
      </c>
      <c r="Y55" s="9">
        <v>0</v>
      </c>
      <c r="Z55" s="9" t="str">
        <f t="shared" si="3"/>
        <v/>
      </c>
      <c r="AA55" s="9"/>
      <c r="AB55" s="9" t="str">
        <f t="shared" si="3"/>
        <v/>
      </c>
      <c r="AC55" s="9"/>
      <c r="AD55" s="9" t="str">
        <f t="shared" si="3"/>
        <v/>
      </c>
    </row>
    <row r="56" spans="1:30" x14ac:dyDescent="0.25">
      <c r="A56" t="s">
        <v>47</v>
      </c>
      <c r="B56" s="9">
        <v>3.4530000000000003E-5</v>
      </c>
      <c r="C56" s="9" t="str">
        <f t="shared" si="0"/>
        <v>**</v>
      </c>
      <c r="D56" s="9" t="str">
        <f>+CONCATENATE(ROUND(B56,3), " ",C56)</f>
        <v>0 **</v>
      </c>
      <c r="E56" s="9">
        <v>2.5049999999999999E-5</v>
      </c>
      <c r="F56" s="9" t="str">
        <f t="shared" si="0"/>
        <v>*</v>
      </c>
      <c r="G56" s="9"/>
      <c r="H56" s="9" t="str">
        <f t="shared" si="0"/>
        <v>***</v>
      </c>
      <c r="I56" s="9"/>
      <c r="J56" s="9" t="str">
        <f t="shared" si="0"/>
        <v>***</v>
      </c>
      <c r="K56" s="9">
        <v>2.3560000000000001E-5</v>
      </c>
      <c r="L56" s="9" t="str">
        <f t="shared" si="0"/>
        <v>*</v>
      </c>
      <c r="M56" s="9">
        <v>1.9709999999999999E-5</v>
      </c>
      <c r="N56" s="9" t="str">
        <f t="shared" si="2"/>
        <v/>
      </c>
      <c r="O56" s="9">
        <v>6.5049999999999996E-5</v>
      </c>
      <c r="P56" s="9" t="str">
        <f t="shared" si="2"/>
        <v>**</v>
      </c>
      <c r="Q56" s="9">
        <v>4.7549999999999997E-5</v>
      </c>
      <c r="R56" s="9" t="str">
        <f t="shared" si="2"/>
        <v>*</v>
      </c>
      <c r="S56" s="9"/>
      <c r="T56" s="9" t="str">
        <f t="shared" si="2"/>
        <v>***</v>
      </c>
      <c r="U56" s="9"/>
      <c r="V56" s="9" t="str">
        <f t="shared" si="2"/>
        <v>***</v>
      </c>
      <c r="W56" s="9"/>
      <c r="X56" s="9" t="str">
        <f t="shared" si="3"/>
        <v>***</v>
      </c>
      <c r="Y56" s="9"/>
      <c r="Z56" s="9" t="str">
        <f t="shared" si="3"/>
        <v>***</v>
      </c>
      <c r="AA56" s="9"/>
      <c r="AB56" s="9" t="str">
        <f t="shared" si="3"/>
        <v>***</v>
      </c>
      <c r="AC56" s="9"/>
      <c r="AD56" s="9" t="str">
        <f t="shared" si="3"/>
        <v>***</v>
      </c>
    </row>
    <row r="57" spans="1:30" x14ac:dyDescent="0.25">
      <c r="B57" s="9">
        <v>1.34E-5</v>
      </c>
      <c r="C57" s="9" t="str">
        <f t="shared" si="0"/>
        <v/>
      </c>
      <c r="D57" s="9" t="str">
        <f>+CONCATENATE("(",ROUND(B57,3),")")</f>
        <v>(0)</v>
      </c>
      <c r="E57" s="9">
        <v>1.2799999999999999E-5</v>
      </c>
      <c r="F57" s="9" t="str">
        <f t="shared" si="0"/>
        <v/>
      </c>
      <c r="G57" s="9"/>
      <c r="H57" s="9" t="str">
        <f t="shared" si="0"/>
        <v/>
      </c>
      <c r="I57" s="9"/>
      <c r="J57" s="9" t="str">
        <f t="shared" si="0"/>
        <v/>
      </c>
      <c r="K57" s="9">
        <v>1.2799999999999999E-5</v>
      </c>
      <c r="L57" s="9" t="str">
        <f t="shared" si="0"/>
        <v/>
      </c>
      <c r="M57" s="9">
        <v>1.24E-5</v>
      </c>
      <c r="N57" s="9" t="str">
        <f t="shared" si="2"/>
        <v/>
      </c>
      <c r="O57" s="9">
        <v>2.7800000000000001E-5</v>
      </c>
      <c r="P57" s="9" t="str">
        <f t="shared" si="2"/>
        <v/>
      </c>
      <c r="Q57" s="9">
        <v>2.4199999999999999E-5</v>
      </c>
      <c r="R57" s="9" t="str">
        <f t="shared" si="2"/>
        <v/>
      </c>
      <c r="S57" s="9"/>
      <c r="T57" s="9" t="str">
        <f t="shared" si="2"/>
        <v/>
      </c>
      <c r="U57" s="9"/>
      <c r="V57" s="9" t="str">
        <f t="shared" si="2"/>
        <v/>
      </c>
      <c r="W57" s="9"/>
      <c r="X57" s="9" t="str">
        <f t="shared" si="3"/>
        <v/>
      </c>
      <c r="Y57" s="9"/>
      <c r="Z57" s="9" t="str">
        <f t="shared" si="3"/>
        <v/>
      </c>
      <c r="AA57" s="9"/>
      <c r="AB57" s="9" t="str">
        <f t="shared" si="3"/>
        <v/>
      </c>
      <c r="AC57" s="9"/>
      <c r="AD57" s="9" t="str">
        <f t="shared" si="3"/>
        <v/>
      </c>
    </row>
    <row r="58" spans="1:30" x14ac:dyDescent="0.25">
      <c r="A58" s="3"/>
      <c r="B58" s="10">
        <v>0.01</v>
      </c>
      <c r="C58" s="9" t="str">
        <f t="shared" si="0"/>
        <v/>
      </c>
      <c r="D58" s="9"/>
      <c r="E58" s="10">
        <v>5.0999999999999997E-2</v>
      </c>
      <c r="F58" s="9" t="str">
        <f t="shared" si="0"/>
        <v/>
      </c>
      <c r="G58" s="10"/>
      <c r="H58" s="9" t="str">
        <f t="shared" si="0"/>
        <v/>
      </c>
      <c r="I58" s="10"/>
      <c r="J58" s="9" t="str">
        <f t="shared" si="0"/>
        <v/>
      </c>
      <c r="K58" s="10">
        <v>6.6000000000000003E-2</v>
      </c>
      <c r="L58" s="9" t="str">
        <f t="shared" si="0"/>
        <v/>
      </c>
      <c r="M58" s="10">
        <v>0.112</v>
      </c>
      <c r="N58" s="9" t="str">
        <f t="shared" si="2"/>
        <v/>
      </c>
      <c r="O58" s="10">
        <v>0.02</v>
      </c>
      <c r="P58" s="9" t="str">
        <f t="shared" si="2"/>
        <v/>
      </c>
      <c r="Q58" s="10">
        <v>0.05</v>
      </c>
      <c r="R58" s="9" t="str">
        <f t="shared" si="2"/>
        <v/>
      </c>
      <c r="S58" s="10"/>
      <c r="T58" s="9" t="str">
        <f t="shared" si="2"/>
        <v/>
      </c>
      <c r="U58" s="10"/>
      <c r="V58" s="9" t="str">
        <f t="shared" si="2"/>
        <v/>
      </c>
      <c r="W58" s="10"/>
      <c r="X58" s="9" t="str">
        <f t="shared" si="3"/>
        <v/>
      </c>
      <c r="Y58" s="10"/>
      <c r="Z58" s="9" t="str">
        <f t="shared" si="3"/>
        <v/>
      </c>
      <c r="AA58" s="10"/>
      <c r="AB58" s="9" t="str">
        <f t="shared" si="3"/>
        <v/>
      </c>
      <c r="AC58" s="10"/>
      <c r="AD58" s="9" t="str">
        <f t="shared" si="3"/>
        <v/>
      </c>
    </row>
    <row r="59" spans="1:3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5">
      <c r="A60" s="2" t="s">
        <v>21</v>
      </c>
      <c r="B60" s="4" t="s">
        <v>22</v>
      </c>
      <c r="C60" s="4"/>
      <c r="D60" s="4"/>
      <c r="E60" s="4" t="s">
        <v>23</v>
      </c>
      <c r="F60" s="4"/>
      <c r="G60" s="4" t="s">
        <v>22</v>
      </c>
      <c r="H60" s="4"/>
      <c r="I60" s="4" t="s">
        <v>23</v>
      </c>
      <c r="J60" s="4"/>
      <c r="K60" s="4" t="s">
        <v>22</v>
      </c>
      <c r="L60" s="4"/>
      <c r="M60" s="4" t="s">
        <v>23</v>
      </c>
      <c r="N60" s="4"/>
      <c r="O60" s="4" t="s">
        <v>22</v>
      </c>
      <c r="P60" s="4"/>
      <c r="Q60" s="4" t="s">
        <v>23</v>
      </c>
      <c r="R60" s="4"/>
      <c r="S60" s="4" t="s">
        <v>22</v>
      </c>
      <c r="T60" s="4"/>
      <c r="U60" s="4" t="s">
        <v>23</v>
      </c>
      <c r="V60" s="4"/>
      <c r="W60" s="4" t="s">
        <v>22</v>
      </c>
      <c r="X60" s="4"/>
      <c r="Y60" s="4" t="s">
        <v>23</v>
      </c>
      <c r="Z60" s="4"/>
      <c r="AA60" s="4" t="s">
        <v>22</v>
      </c>
      <c r="AB60" s="4"/>
      <c r="AC60" s="4" t="s">
        <v>23</v>
      </c>
      <c r="AD60" s="4"/>
    </row>
    <row r="61" spans="1:3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5">
      <c r="A62" t="s">
        <v>24</v>
      </c>
      <c r="B62" s="5">
        <v>252.93</v>
      </c>
      <c r="C62" s="5"/>
      <c r="D62" s="5"/>
      <c r="E62" s="5">
        <v>63.23</v>
      </c>
      <c r="F62" s="5"/>
      <c r="G62" s="5">
        <v>66.63</v>
      </c>
      <c r="H62" s="5"/>
      <c r="I62" s="5">
        <v>68.45</v>
      </c>
      <c r="J62" s="5"/>
      <c r="K62" s="5">
        <v>27.65</v>
      </c>
      <c r="L62" s="5"/>
      <c r="M62" s="5">
        <v>9.7200000000000006</v>
      </c>
      <c r="N62" s="5"/>
      <c r="O62" s="5">
        <v>41.2</v>
      </c>
      <c r="P62" s="5"/>
      <c r="Q62" s="5">
        <v>9.81</v>
      </c>
      <c r="R62" s="5"/>
      <c r="S62" s="5">
        <v>33.67</v>
      </c>
      <c r="T62" s="5"/>
      <c r="U62" s="5">
        <v>61.15</v>
      </c>
      <c r="V62" s="5"/>
      <c r="W62" s="5">
        <v>372.47</v>
      </c>
      <c r="X62" s="5"/>
      <c r="Y62" s="5">
        <v>12.63</v>
      </c>
      <c r="Z62" s="5"/>
      <c r="AA62" s="5">
        <v>35.049999999999997</v>
      </c>
      <c r="AB62" s="5"/>
      <c r="AC62" s="5">
        <v>57.25</v>
      </c>
      <c r="AD62" s="5"/>
    </row>
    <row r="63" spans="1:30" x14ac:dyDescent="0.25">
      <c r="A63" t="s">
        <v>25</v>
      </c>
      <c r="B63" s="5">
        <v>1877.31</v>
      </c>
      <c r="C63" s="5"/>
      <c r="D63" s="5"/>
      <c r="E63" s="5">
        <v>208.25</v>
      </c>
      <c r="F63" s="5"/>
      <c r="G63" s="5">
        <v>166.27</v>
      </c>
      <c r="H63" s="5"/>
      <c r="I63" s="5">
        <v>198.69</v>
      </c>
      <c r="J63" s="5"/>
      <c r="K63" s="5">
        <v>123.7</v>
      </c>
      <c r="L63" s="5"/>
      <c r="M63" s="5">
        <v>25.17</v>
      </c>
      <c r="N63" s="5"/>
      <c r="O63" s="5">
        <v>201.6</v>
      </c>
      <c r="P63" s="5"/>
      <c r="Q63" s="5">
        <v>30.55</v>
      </c>
      <c r="R63" s="5"/>
      <c r="S63" s="5">
        <v>151.65</v>
      </c>
      <c r="T63" s="5"/>
      <c r="U63" s="5">
        <v>194.77</v>
      </c>
      <c r="V63" s="5"/>
      <c r="W63" s="5">
        <v>1574.02</v>
      </c>
      <c r="X63" s="5"/>
      <c r="Y63" s="5">
        <v>126.05</v>
      </c>
      <c r="Z63" s="5"/>
      <c r="AA63" s="5">
        <v>139.82</v>
      </c>
      <c r="AB63" s="5"/>
      <c r="AC63" s="5">
        <v>161.04</v>
      </c>
      <c r="AD63" s="5"/>
    </row>
    <row r="64" spans="1:30" x14ac:dyDescent="0.25">
      <c r="A64" t="s">
        <v>26</v>
      </c>
      <c r="B64" s="6">
        <v>0.6470588235294118</v>
      </c>
      <c r="C64" s="6"/>
      <c r="D64" s="6"/>
      <c r="E64" s="6">
        <v>0.7142857142857143</v>
      </c>
      <c r="F64" s="6"/>
      <c r="G64" s="6">
        <v>0.75</v>
      </c>
      <c r="H64" s="6"/>
      <c r="I64" s="6">
        <v>0.81818181818181823</v>
      </c>
      <c r="J64" s="6"/>
      <c r="K64" s="6">
        <v>0.625</v>
      </c>
      <c r="L64" s="6"/>
      <c r="M64" s="6">
        <v>0.69696969696969702</v>
      </c>
      <c r="N64" s="6"/>
      <c r="O64" s="6">
        <v>0.63636363636363635</v>
      </c>
      <c r="P64" s="6"/>
      <c r="Q64" s="6">
        <v>0.63888888888888884</v>
      </c>
      <c r="R64" s="6"/>
      <c r="S64" s="6">
        <v>0.45454545454545447</v>
      </c>
      <c r="T64" s="6"/>
      <c r="U64" s="6">
        <v>0.69444444444444442</v>
      </c>
      <c r="V64" s="6"/>
      <c r="W64" s="6">
        <v>0.77777777777777779</v>
      </c>
      <c r="X64" s="6"/>
      <c r="Y64" s="6">
        <v>0.55882352941176472</v>
      </c>
      <c r="Z64" s="6"/>
      <c r="AA64" s="6">
        <v>0.5714285714285714</v>
      </c>
      <c r="AB64" s="6"/>
      <c r="AC64" s="6">
        <v>0.84375</v>
      </c>
      <c r="AD64" s="6"/>
    </row>
    <row r="65" spans="1:30" x14ac:dyDescent="0.25">
      <c r="A65" s="3" t="s">
        <v>27</v>
      </c>
      <c r="B65" s="7">
        <v>0.1176470588235294</v>
      </c>
      <c r="C65" s="7"/>
      <c r="D65" s="7"/>
      <c r="E65" s="7">
        <v>0.5</v>
      </c>
      <c r="F65" s="7"/>
      <c r="G65" s="7">
        <v>0.375</v>
      </c>
      <c r="H65" s="7"/>
      <c r="I65" s="7">
        <v>0.54545454545454541</v>
      </c>
      <c r="J65" s="7"/>
      <c r="K65" s="7">
        <v>0.375</v>
      </c>
      <c r="L65" s="7"/>
      <c r="M65" s="7">
        <v>0.51515151515151514</v>
      </c>
      <c r="N65" s="7"/>
      <c r="O65" s="7">
        <v>0.27272727272727271</v>
      </c>
      <c r="P65" s="7"/>
      <c r="Q65" s="7">
        <v>0.5</v>
      </c>
      <c r="R65" s="7"/>
      <c r="S65" s="7">
        <v>0.1818181818181818</v>
      </c>
      <c r="T65" s="7"/>
      <c r="U65" s="7">
        <v>0.52777777777777779</v>
      </c>
      <c r="V65" s="7"/>
      <c r="W65" s="7">
        <v>0.22222222222222221</v>
      </c>
      <c r="X65" s="7"/>
      <c r="Y65" s="7">
        <v>0.1176470588235294</v>
      </c>
      <c r="Z65" s="7"/>
      <c r="AA65" s="7">
        <v>0.42857142857142849</v>
      </c>
      <c r="AB65" s="7"/>
      <c r="AC65" s="7">
        <v>0.5</v>
      </c>
      <c r="AD65" s="7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D65"/>
  <sheetViews>
    <sheetView workbookViewId="0">
      <selection activeCell="D1" sqref="D1:D1048576"/>
    </sheetView>
  </sheetViews>
  <sheetFormatPr baseColWidth="10" defaultColWidth="9.140625" defaultRowHeight="15" x14ac:dyDescent="0.25"/>
  <cols>
    <col min="1" max="1" width="76.85546875" bestFit="1" customWidth="1"/>
    <col min="3" max="4" width="10.7109375" customWidth="1"/>
    <col min="6" max="6" width="10.7109375" customWidth="1"/>
    <col min="8" max="8" width="10.7109375" customWidth="1"/>
    <col min="10" max="10" width="10.7109375" customWidth="1"/>
    <col min="12" max="12" width="10.7109375" customWidth="1"/>
    <col min="14" max="14" width="10.7109375" customWidth="1"/>
    <col min="16" max="16" width="10.7109375" customWidth="1"/>
    <col min="18" max="18" width="10.7109375" customWidth="1"/>
    <col min="20" max="20" width="10.7109375" customWidth="1"/>
    <col min="22" max="22" width="10.7109375" customWidth="1"/>
    <col min="24" max="24" width="10.7109375" customWidth="1"/>
    <col min="26" max="26" width="10.7109375" customWidth="1"/>
    <col min="28" max="28" width="10.7109375" customWidth="1"/>
    <col min="30" max="30" width="10.7109375" customWidth="1"/>
  </cols>
  <sheetData>
    <row r="1" spans="1:30" x14ac:dyDescent="0.25">
      <c r="A1" s="12" t="s">
        <v>0</v>
      </c>
      <c r="B1" s="1" t="s">
        <v>1</v>
      </c>
      <c r="C1" s="1"/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  <c r="M1" s="1" t="s">
        <v>6</v>
      </c>
      <c r="N1" s="1"/>
      <c r="O1" s="1" t="s">
        <v>7</v>
      </c>
      <c r="P1" s="1"/>
      <c r="Q1" s="1" t="s">
        <v>8</v>
      </c>
      <c r="R1" s="1"/>
      <c r="S1" s="1" t="s">
        <v>9</v>
      </c>
      <c r="T1" s="1"/>
      <c r="U1" s="1" t="s">
        <v>10</v>
      </c>
      <c r="V1" s="1"/>
      <c r="W1" s="1" t="s">
        <v>11</v>
      </c>
      <c r="X1" s="1"/>
      <c r="Y1" s="1" t="s">
        <v>12</v>
      </c>
      <c r="Z1" s="1"/>
      <c r="AA1" s="1" t="s">
        <v>13</v>
      </c>
      <c r="AB1" s="1"/>
      <c r="AC1" s="1" t="s">
        <v>14</v>
      </c>
      <c r="AD1" s="1"/>
    </row>
    <row r="2" spans="1:30" x14ac:dyDescent="0.25">
      <c r="A2" s="2" t="s">
        <v>15</v>
      </c>
      <c r="B2" s="4" t="s">
        <v>16</v>
      </c>
      <c r="C2" s="4"/>
      <c r="D2" s="4"/>
      <c r="E2" s="4" t="s">
        <v>16</v>
      </c>
      <c r="F2" s="4"/>
      <c r="G2" s="4" t="s">
        <v>16</v>
      </c>
      <c r="H2" s="4"/>
      <c r="I2" s="4" t="s">
        <v>16</v>
      </c>
      <c r="J2" s="4"/>
      <c r="K2" s="4" t="s">
        <v>16</v>
      </c>
      <c r="L2" s="4"/>
      <c r="M2" s="4" t="s">
        <v>16</v>
      </c>
      <c r="N2" s="4"/>
      <c r="O2" s="4" t="s">
        <v>16</v>
      </c>
      <c r="P2" s="4"/>
      <c r="Q2" s="4" t="s">
        <v>16</v>
      </c>
      <c r="R2" s="4"/>
      <c r="S2" s="4" t="s">
        <v>16</v>
      </c>
      <c r="T2" s="4"/>
      <c r="U2" s="4" t="s">
        <v>16</v>
      </c>
      <c r="V2" s="4"/>
      <c r="W2" s="4" t="s">
        <v>16</v>
      </c>
      <c r="X2" s="4"/>
      <c r="Y2" s="4" t="s">
        <v>16</v>
      </c>
      <c r="Z2" s="4"/>
      <c r="AA2" s="4" t="s">
        <v>16</v>
      </c>
      <c r="AB2" s="4"/>
      <c r="AC2" s="4" t="s">
        <v>16</v>
      </c>
      <c r="AD2" s="4"/>
    </row>
    <row r="3" spans="1:3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t="s">
        <v>17</v>
      </c>
      <c r="B4" s="8" t="s">
        <v>30</v>
      </c>
      <c r="C4" s="8"/>
      <c r="D4" s="8"/>
      <c r="E4" s="8" t="s">
        <v>30</v>
      </c>
      <c r="F4" s="8"/>
      <c r="G4" s="8" t="s">
        <v>30</v>
      </c>
      <c r="H4" s="8"/>
      <c r="I4" s="8" t="s">
        <v>30</v>
      </c>
      <c r="J4" s="8"/>
      <c r="K4" s="8" t="s">
        <v>30</v>
      </c>
      <c r="L4" s="8"/>
      <c r="M4" s="8" t="s">
        <v>30</v>
      </c>
      <c r="N4" s="8"/>
      <c r="O4" s="8" t="s">
        <v>30</v>
      </c>
      <c r="P4" s="8"/>
      <c r="Q4" s="8" t="s">
        <v>30</v>
      </c>
      <c r="R4" s="8"/>
      <c r="S4" s="8" t="s">
        <v>30</v>
      </c>
      <c r="T4" s="8"/>
      <c r="U4" s="8" t="s">
        <v>30</v>
      </c>
      <c r="V4" s="8"/>
      <c r="W4" s="8" t="s">
        <v>30</v>
      </c>
      <c r="X4" s="8"/>
      <c r="Y4" s="8" t="s">
        <v>30</v>
      </c>
      <c r="Z4" s="8"/>
      <c r="AA4" s="8" t="s">
        <v>30</v>
      </c>
      <c r="AB4" s="8"/>
      <c r="AC4" s="8" t="s">
        <v>30</v>
      </c>
      <c r="AD4" s="8"/>
    </row>
    <row r="5" spans="1:30" x14ac:dyDescent="0.25">
      <c r="A5" t="s">
        <v>19</v>
      </c>
      <c r="B5" s="6">
        <v>0.55100000000000005</v>
      </c>
      <c r="C5" s="6"/>
      <c r="D5" s="6"/>
      <c r="E5" s="6">
        <v>0.58299999999999996</v>
      </c>
      <c r="F5" s="6"/>
      <c r="G5" s="6">
        <v>0.53600000000000003</v>
      </c>
      <c r="H5" s="6"/>
      <c r="I5" s="6">
        <v>0.57099999999999995</v>
      </c>
      <c r="J5" s="6"/>
      <c r="K5" s="6">
        <v>2.5999999999999999E-2</v>
      </c>
      <c r="L5" s="6"/>
      <c r="M5" s="6">
        <v>0.20100000000000001</v>
      </c>
      <c r="N5" s="6"/>
      <c r="O5" s="6">
        <v>4.2000000000000003E-2</v>
      </c>
      <c r="P5" s="6"/>
      <c r="Q5" s="6">
        <v>0.19900000000000001</v>
      </c>
      <c r="R5" s="6"/>
      <c r="S5" s="6">
        <v>0.54600000000000004</v>
      </c>
      <c r="T5" s="6"/>
      <c r="U5" s="6">
        <v>0.57999999999999996</v>
      </c>
      <c r="V5" s="6"/>
      <c r="W5" s="6">
        <v>0.53700000000000003</v>
      </c>
      <c r="X5" s="6"/>
      <c r="Y5" s="6">
        <v>0.57099999999999995</v>
      </c>
      <c r="Z5" s="6"/>
      <c r="AA5" s="6">
        <v>0.54</v>
      </c>
      <c r="AB5" s="6"/>
      <c r="AC5" s="6">
        <v>0.57499999999999996</v>
      </c>
      <c r="AD5" s="6"/>
    </row>
    <row r="6" spans="1:30" x14ac:dyDescent="0.25">
      <c r="A6" s="3" t="s">
        <v>20</v>
      </c>
      <c r="B6" s="7">
        <v>0.53300000000000003</v>
      </c>
      <c r="C6" s="7"/>
      <c r="D6" s="7"/>
      <c r="E6" s="7">
        <v>0.54</v>
      </c>
      <c r="F6" s="7"/>
      <c r="G6" s="7">
        <v>0.52800000000000002</v>
      </c>
      <c r="H6" s="7"/>
      <c r="I6" s="7">
        <v>0.53700000000000003</v>
      </c>
      <c r="J6" s="7"/>
      <c r="K6" s="7">
        <v>8.9999999999999993E-3</v>
      </c>
      <c r="L6" s="7"/>
      <c r="M6" s="7">
        <v>0.13700000000000001</v>
      </c>
      <c r="N6" s="7"/>
      <c r="O6" s="7">
        <v>1.9E-2</v>
      </c>
      <c r="P6" s="7"/>
      <c r="Q6" s="7">
        <v>0.128</v>
      </c>
      <c r="R6" s="7"/>
      <c r="S6" s="7">
        <v>0.53500000000000003</v>
      </c>
      <c r="T6" s="7"/>
      <c r="U6" s="7">
        <v>0.54300000000000004</v>
      </c>
      <c r="V6" s="7"/>
      <c r="W6" s="7">
        <v>0.52800000000000002</v>
      </c>
      <c r="X6" s="7"/>
      <c r="Y6" s="7">
        <v>0.53600000000000003</v>
      </c>
      <c r="Z6" s="7"/>
      <c r="AA6" s="7">
        <v>0.53100000000000003</v>
      </c>
      <c r="AB6" s="7"/>
      <c r="AC6" s="7">
        <v>0.54</v>
      </c>
      <c r="AD6" s="7"/>
    </row>
    <row r="7" spans="1:3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13" t="s">
        <v>31</v>
      </c>
      <c r="B8" s="9">
        <v>15.1951</v>
      </c>
      <c r="C8" s="9" t="str">
        <f>+IF($A8&lt;&gt;"",IF(B10&lt;0.01,"***",IF(B10&lt;0.05,"**",IF(B10&lt;0.1,"*",""))),"")</f>
        <v>***</v>
      </c>
      <c r="D8" s="9" t="str">
        <f>+CONCATENATE(ROUND(B8,3), " ",C8)</f>
        <v>15,195 ***</v>
      </c>
      <c r="E8" s="9">
        <v>15.5534</v>
      </c>
      <c r="F8" s="9" t="str">
        <f>+IF($A8&lt;&gt;"",IF(E10&lt;0.01,"***",IF(E10&lt;0.05,"**",IF(E10&lt;0.1,"*",""))),"")</f>
        <v>***</v>
      </c>
      <c r="G8" s="9">
        <v>15.696899999999999</v>
      </c>
      <c r="H8" s="9" t="str">
        <f>+IF($A8&lt;&gt;"",IF(G10&lt;0.01,"***",IF(G10&lt;0.05,"**",IF(G10&lt;0.1,"*",""))),"")</f>
        <v>***</v>
      </c>
      <c r="I8" s="9">
        <v>16.352599999999999</v>
      </c>
      <c r="J8" s="9" t="str">
        <f>+IF($A8&lt;&gt;"",IF(I10&lt;0.01,"***",IF(I10&lt;0.05,"**",IF(I10&lt;0.1,"*",""))),"")</f>
        <v>***</v>
      </c>
      <c r="K8" s="9">
        <v>51.603499999999997</v>
      </c>
      <c r="L8" s="9" t="str">
        <f>+IF($A8&lt;&gt;"",IF(K10&lt;0.01,"***",IF(K10&lt;0.05,"**",IF(K10&lt;0.1,"*",""))),"")</f>
        <v>***</v>
      </c>
      <c r="M8" s="9">
        <v>48.770600000000002</v>
      </c>
      <c r="N8" s="9" t="str">
        <f>+IF($A8&lt;&gt;"",IF(M10&lt;0.01,"***",IF(M10&lt;0.05,"**",IF(M10&lt;0.1,"*",""))),"")</f>
        <v>***</v>
      </c>
      <c r="O8" s="9">
        <v>52.176900000000003</v>
      </c>
      <c r="P8" s="9" t="str">
        <f>+IF($A8&lt;&gt;"",IF(O10&lt;0.01,"***",IF(O10&lt;0.05,"**",IF(O10&lt;0.1,"*",""))),"")</f>
        <v>***</v>
      </c>
      <c r="Q8" s="9">
        <v>49.1768</v>
      </c>
      <c r="R8" s="9" t="str">
        <f>+IF($A8&lt;&gt;"",IF(Q10&lt;0.01,"***",IF(Q10&lt;0.05,"**",IF(Q10&lt;0.1,"*",""))),"")</f>
        <v>***</v>
      </c>
      <c r="S8" s="9">
        <v>15.9796</v>
      </c>
      <c r="T8" s="9" t="str">
        <f>+IF($A8&lt;&gt;"",IF(S10&lt;0.01,"***",IF(S10&lt;0.05,"**",IF(S10&lt;0.1,"*",""))),"")</f>
        <v>***</v>
      </c>
      <c r="U8" s="9">
        <v>16.204999999999998</v>
      </c>
      <c r="V8" s="9" t="str">
        <f>+IF($A8&lt;&gt;"",IF(U10&lt;0.01,"***",IF(U10&lt;0.05,"**",IF(U10&lt;0.1,"*",""))),"")</f>
        <v>***</v>
      </c>
      <c r="W8" s="9">
        <v>16.229299999999999</v>
      </c>
      <c r="X8" s="9" t="str">
        <f>+IF($A8&lt;&gt;"",IF(W10&lt;0.01,"***",IF(W10&lt;0.05,"**",IF(W10&lt;0.1,"*",""))),"")</f>
        <v>***</v>
      </c>
      <c r="Y8" s="9">
        <v>16.728400000000001</v>
      </c>
      <c r="Z8" s="9" t="str">
        <f>+IF($A8&lt;&gt;"",IF(Y10&lt;0.01,"***",IF(Y10&lt;0.05,"**",IF(Y10&lt;0.1,"*",""))),"")</f>
        <v>***</v>
      </c>
      <c r="AA8" s="9">
        <v>16.152000000000001</v>
      </c>
      <c r="AB8" s="9" t="str">
        <f>+IF($A8&lt;&gt;"",IF(AA10&lt;0.01,"***",IF(AA10&lt;0.05,"**",IF(AA10&lt;0.1,"*",""))),"")</f>
        <v>***</v>
      </c>
      <c r="AC8" s="9">
        <v>16.385899999999999</v>
      </c>
      <c r="AD8" s="9" t="str">
        <f>+IF($A8&lt;&gt;"",IF(AC10&lt;0.01,"***",IF(AC10&lt;0.05,"**",IF(AC10&lt;0.1,"*",""))),"")</f>
        <v>***</v>
      </c>
    </row>
    <row r="9" spans="1:30" x14ac:dyDescent="0.25">
      <c r="A9" s="14"/>
      <c r="B9" s="9">
        <v>1.8919999999999999</v>
      </c>
      <c r="C9" s="9" t="str">
        <f t="shared" ref="C9:N58" si="0">+IF($A9&lt;&gt;"",IF(B11&lt;0.01,"***",IF(B11&lt;0.05,"**",IF(B11&lt;0.1,"*",""))),"")</f>
        <v/>
      </c>
      <c r="D9" s="9" t="str">
        <f>+CONCATENATE("(",ROUND(B9,3),")")</f>
        <v>(1,892)</v>
      </c>
      <c r="E9" s="9">
        <v>1.93</v>
      </c>
      <c r="F9" s="9" t="str">
        <f t="shared" si="0"/>
        <v/>
      </c>
      <c r="G9" s="9">
        <v>1.85</v>
      </c>
      <c r="H9" s="9" t="str">
        <f t="shared" si="0"/>
        <v/>
      </c>
      <c r="I9" s="9">
        <v>1.903</v>
      </c>
      <c r="J9" s="9" t="str">
        <f t="shared" si="0"/>
        <v/>
      </c>
      <c r="K9" s="9">
        <v>0.92200000000000004</v>
      </c>
      <c r="L9" s="9" t="str">
        <f t="shared" si="0"/>
        <v/>
      </c>
      <c r="M9" s="9">
        <v>0.879</v>
      </c>
      <c r="N9" s="9" t="str">
        <f t="shared" si="0"/>
        <v/>
      </c>
      <c r="O9" s="9">
        <v>0.96799999999999997</v>
      </c>
      <c r="P9" s="9" t="str">
        <f t="shared" ref="P9:AD43" si="1">+IF($A9&lt;&gt;"",IF(O11&lt;0.01,"***",IF(O11&lt;0.05,"**",IF(O11&lt;0.1,"*",""))),"")</f>
        <v/>
      </c>
      <c r="Q9" s="9">
        <v>0.95899999999999996</v>
      </c>
      <c r="R9" s="9" t="str">
        <f t="shared" si="1"/>
        <v/>
      </c>
      <c r="S9" s="9">
        <v>1.8169999999999999</v>
      </c>
      <c r="T9" s="9" t="str">
        <f t="shared" si="1"/>
        <v/>
      </c>
      <c r="U9" s="9">
        <v>1.89</v>
      </c>
      <c r="V9" s="9" t="str">
        <f t="shared" si="1"/>
        <v/>
      </c>
      <c r="W9" s="9">
        <v>1.8240000000000001</v>
      </c>
      <c r="X9" s="9" t="str">
        <f t="shared" si="1"/>
        <v/>
      </c>
      <c r="Y9" s="9">
        <v>1.89</v>
      </c>
      <c r="Z9" s="9" t="str">
        <f t="shared" si="1"/>
        <v/>
      </c>
      <c r="AA9" s="9">
        <v>1.825</v>
      </c>
      <c r="AB9" s="9" t="str">
        <f t="shared" si="1"/>
        <v/>
      </c>
      <c r="AC9" s="9">
        <v>1.893</v>
      </c>
      <c r="AD9" s="9" t="str">
        <f t="shared" si="1"/>
        <v/>
      </c>
    </row>
    <row r="10" spans="1:30" x14ac:dyDescent="0.25">
      <c r="A10" s="14"/>
      <c r="B10" s="9">
        <v>0</v>
      </c>
      <c r="C10" s="9" t="str">
        <f t="shared" si="0"/>
        <v/>
      </c>
      <c r="D10" s="9"/>
      <c r="E10" s="9">
        <v>0</v>
      </c>
      <c r="F10" s="9" t="str">
        <f t="shared" si="0"/>
        <v/>
      </c>
      <c r="G10" s="9">
        <v>0</v>
      </c>
      <c r="H10" s="9" t="str">
        <f t="shared" si="0"/>
        <v/>
      </c>
      <c r="I10" s="9">
        <v>0</v>
      </c>
      <c r="J10" s="9" t="str">
        <f t="shared" si="0"/>
        <v/>
      </c>
      <c r="K10" s="9">
        <v>0</v>
      </c>
      <c r="L10" s="9" t="str">
        <f t="shared" si="0"/>
        <v/>
      </c>
      <c r="M10" s="9">
        <v>0</v>
      </c>
      <c r="N10" s="9" t="str">
        <f t="shared" si="0"/>
        <v/>
      </c>
      <c r="O10" s="9">
        <v>0</v>
      </c>
      <c r="P10" s="9" t="str">
        <f t="shared" si="1"/>
        <v/>
      </c>
      <c r="Q10" s="9">
        <v>0</v>
      </c>
      <c r="R10" s="9" t="str">
        <f t="shared" si="1"/>
        <v/>
      </c>
      <c r="S10" s="9">
        <v>0</v>
      </c>
      <c r="T10" s="9" t="str">
        <f t="shared" si="1"/>
        <v/>
      </c>
      <c r="U10" s="9">
        <v>0</v>
      </c>
      <c r="V10" s="9" t="str">
        <f t="shared" si="1"/>
        <v/>
      </c>
      <c r="W10" s="9">
        <v>0</v>
      </c>
      <c r="X10" s="9" t="str">
        <f t="shared" si="1"/>
        <v/>
      </c>
      <c r="Y10" s="9">
        <v>0</v>
      </c>
      <c r="Z10" s="9" t="str">
        <f t="shared" si="1"/>
        <v/>
      </c>
      <c r="AA10" s="9">
        <v>0</v>
      </c>
      <c r="AB10" s="9" t="str">
        <f t="shared" si="1"/>
        <v/>
      </c>
      <c r="AC10" s="9">
        <v>0</v>
      </c>
      <c r="AD10" s="9" t="str">
        <f t="shared" si="1"/>
        <v/>
      </c>
    </row>
    <row r="11" spans="1:30" x14ac:dyDescent="0.25">
      <c r="A11" t="s">
        <v>32</v>
      </c>
      <c r="B11" s="9">
        <v>-1E-4</v>
      </c>
      <c r="C11" s="9" t="str">
        <f t="shared" si="0"/>
        <v/>
      </c>
      <c r="D11" s="9" t="str">
        <f>+CONCATENATE(ROUND(B11,3), " ",C11)</f>
        <v xml:space="preserve">0 </v>
      </c>
      <c r="E11" s="9">
        <v>-1E-4</v>
      </c>
      <c r="F11" s="9" t="str">
        <f t="shared" si="0"/>
        <v/>
      </c>
      <c r="G11" s="9">
        <v>-1.91E-5</v>
      </c>
      <c r="H11" s="9" t="str">
        <f t="shared" si="0"/>
        <v/>
      </c>
      <c r="I11" s="9">
        <v>-2.866E-5</v>
      </c>
      <c r="J11" s="9" t="str">
        <f t="shared" si="0"/>
        <v/>
      </c>
      <c r="K11" s="9">
        <v>1E-4</v>
      </c>
      <c r="L11" s="9" t="str">
        <f t="shared" si="0"/>
        <v/>
      </c>
      <c r="M11" s="9">
        <v>1E-4</v>
      </c>
      <c r="N11" s="9" t="str">
        <f t="shared" si="0"/>
        <v/>
      </c>
      <c r="O11" s="9">
        <v>2.0000000000000001E-4</v>
      </c>
      <c r="P11" s="9" t="str">
        <f t="shared" si="1"/>
        <v/>
      </c>
      <c r="Q11" s="9">
        <v>1E-4</v>
      </c>
      <c r="R11" s="9" t="str">
        <f t="shared" si="1"/>
        <v/>
      </c>
      <c r="S11" s="9"/>
      <c r="T11" s="9" t="str">
        <f t="shared" si="1"/>
        <v>***</v>
      </c>
      <c r="U11" s="9"/>
      <c r="V11" s="9" t="str">
        <f t="shared" si="1"/>
        <v>***</v>
      </c>
      <c r="W11" s="9"/>
      <c r="X11" s="9" t="str">
        <f t="shared" si="1"/>
        <v>***</v>
      </c>
      <c r="Y11" s="9"/>
      <c r="Z11" s="9" t="str">
        <f t="shared" si="1"/>
        <v>***</v>
      </c>
      <c r="AA11" s="9"/>
      <c r="AB11" s="9" t="str">
        <f t="shared" si="1"/>
        <v>***</v>
      </c>
      <c r="AC11" s="9"/>
      <c r="AD11" s="9" t="str">
        <f t="shared" si="1"/>
        <v>***</v>
      </c>
    </row>
    <row r="12" spans="1:30" x14ac:dyDescent="0.25">
      <c r="B12" s="9">
        <v>0</v>
      </c>
      <c r="C12" s="9" t="str">
        <f t="shared" si="0"/>
        <v/>
      </c>
      <c r="D12" s="9" t="str">
        <f>+CONCATENATE("(",ROUND(B12,3),")")</f>
        <v>(0)</v>
      </c>
      <c r="E12" s="9">
        <v>0</v>
      </c>
      <c r="F12" s="9" t="str">
        <f t="shared" si="0"/>
        <v/>
      </c>
      <c r="G12" s="9">
        <v>0</v>
      </c>
      <c r="H12" s="9" t="str">
        <f t="shared" si="0"/>
        <v/>
      </c>
      <c r="I12" s="9">
        <v>0</v>
      </c>
      <c r="J12" s="9" t="str">
        <f t="shared" si="0"/>
        <v/>
      </c>
      <c r="K12" s="9">
        <v>0</v>
      </c>
      <c r="L12" s="9" t="str">
        <f t="shared" si="0"/>
        <v/>
      </c>
      <c r="M12" s="9">
        <v>0</v>
      </c>
      <c r="N12" s="9" t="str">
        <f t="shared" si="0"/>
        <v/>
      </c>
      <c r="O12" s="9">
        <v>0</v>
      </c>
      <c r="P12" s="9" t="str">
        <f t="shared" si="1"/>
        <v/>
      </c>
      <c r="Q12" s="9">
        <v>0</v>
      </c>
      <c r="R12" s="9" t="str">
        <f t="shared" si="1"/>
        <v/>
      </c>
      <c r="S12" s="9"/>
      <c r="T12" s="9" t="str">
        <f t="shared" si="1"/>
        <v/>
      </c>
      <c r="U12" s="9"/>
      <c r="V12" s="9" t="str">
        <f t="shared" si="1"/>
        <v/>
      </c>
      <c r="W12" s="9"/>
      <c r="X12" s="9" t="str">
        <f t="shared" si="1"/>
        <v/>
      </c>
      <c r="Y12" s="9"/>
      <c r="Z12" s="9" t="str">
        <f t="shared" si="1"/>
        <v/>
      </c>
      <c r="AA12" s="9"/>
      <c r="AB12" s="9" t="str">
        <f t="shared" si="1"/>
        <v/>
      </c>
      <c r="AC12" s="9"/>
      <c r="AD12" s="9" t="str">
        <f t="shared" si="1"/>
        <v/>
      </c>
    </row>
    <row r="13" spans="1:30" x14ac:dyDescent="0.25">
      <c r="B13" s="9">
        <v>0.66800000000000004</v>
      </c>
      <c r="C13" s="9" t="str">
        <f t="shared" si="0"/>
        <v/>
      </c>
      <c r="D13" s="9"/>
      <c r="E13" s="9">
        <v>0.629</v>
      </c>
      <c r="F13" s="9" t="str">
        <f t="shared" si="0"/>
        <v/>
      </c>
      <c r="G13" s="9">
        <v>0.93799999999999994</v>
      </c>
      <c r="H13" s="9" t="str">
        <f t="shared" si="0"/>
        <v/>
      </c>
      <c r="I13" s="9">
        <v>0.91800000000000004</v>
      </c>
      <c r="J13" s="9" t="str">
        <f t="shared" si="0"/>
        <v/>
      </c>
      <c r="K13" s="9">
        <v>0.74199999999999999</v>
      </c>
      <c r="L13" s="9" t="str">
        <f t="shared" si="0"/>
        <v/>
      </c>
      <c r="M13" s="9">
        <v>0.79100000000000004</v>
      </c>
      <c r="N13" s="9" t="str">
        <f t="shared" si="0"/>
        <v/>
      </c>
      <c r="O13" s="9">
        <v>0.501</v>
      </c>
      <c r="P13" s="9" t="str">
        <f t="shared" si="1"/>
        <v/>
      </c>
      <c r="Q13" s="9">
        <v>0.73</v>
      </c>
      <c r="R13" s="9" t="str">
        <f t="shared" si="1"/>
        <v/>
      </c>
      <c r="S13" s="9"/>
      <c r="T13" s="9" t="str">
        <f t="shared" si="1"/>
        <v/>
      </c>
      <c r="U13" s="9"/>
      <c r="V13" s="9" t="str">
        <f t="shared" si="1"/>
        <v/>
      </c>
      <c r="W13" s="9"/>
      <c r="X13" s="9" t="str">
        <f t="shared" si="1"/>
        <v/>
      </c>
      <c r="Y13" s="9"/>
      <c r="Z13" s="9" t="str">
        <f t="shared" si="1"/>
        <v/>
      </c>
      <c r="AA13" s="9"/>
      <c r="AB13" s="9" t="str">
        <f t="shared" si="1"/>
        <v/>
      </c>
      <c r="AC13" s="9"/>
      <c r="AD13" s="9" t="str">
        <f t="shared" si="1"/>
        <v/>
      </c>
    </row>
    <row r="14" spans="1:30" x14ac:dyDescent="0.25">
      <c r="A14" t="s">
        <v>33</v>
      </c>
      <c r="B14" s="9">
        <v>-5.9999999999999995E-4</v>
      </c>
      <c r="C14" s="9" t="str">
        <f t="shared" si="0"/>
        <v/>
      </c>
      <c r="D14" s="9" t="str">
        <f>+CONCATENATE(ROUND(B14,3), " ",C14)</f>
        <v xml:space="preserve">-0,001 </v>
      </c>
      <c r="E14" s="9">
        <v>1.1000000000000001E-3</v>
      </c>
      <c r="F14" s="9" t="str">
        <f t="shared" si="0"/>
        <v/>
      </c>
      <c r="G14" s="9"/>
      <c r="H14" s="9" t="str">
        <f t="shared" si="0"/>
        <v>***</v>
      </c>
      <c r="I14" s="9"/>
      <c r="J14" s="9" t="str">
        <f t="shared" si="0"/>
        <v>***</v>
      </c>
      <c r="K14" s="9">
        <v>6.3E-3</v>
      </c>
      <c r="L14" s="9" t="str">
        <f t="shared" si="0"/>
        <v>*</v>
      </c>
      <c r="M14" s="9">
        <v>6.1000000000000004E-3</v>
      </c>
      <c r="N14" s="9" t="str">
        <f t="shared" ref="N14:X58" si="2">+IF($A14&lt;&gt;"",IF(M16&lt;0.01,"***",IF(M16&lt;0.05,"**",IF(M16&lt;0.1,"*",""))),"")</f>
        <v>*</v>
      </c>
      <c r="O14" s="9"/>
      <c r="P14" s="9" t="str">
        <f t="shared" si="2"/>
        <v>***</v>
      </c>
      <c r="Q14" s="9"/>
      <c r="R14" s="9" t="str">
        <f t="shared" si="2"/>
        <v>***</v>
      </c>
      <c r="S14" s="9">
        <v>-6.9999999999999999E-4</v>
      </c>
      <c r="T14" s="9" t="str">
        <f t="shared" si="2"/>
        <v/>
      </c>
      <c r="U14" s="9">
        <v>8.9999999999999998E-4</v>
      </c>
      <c r="V14" s="9" t="str">
        <f t="shared" si="2"/>
        <v/>
      </c>
      <c r="W14" s="9">
        <v>-5.9999999999999995E-4</v>
      </c>
      <c r="X14" s="9" t="str">
        <f t="shared" si="2"/>
        <v/>
      </c>
      <c r="Y14" s="9">
        <v>6.9999999999999999E-4</v>
      </c>
      <c r="Z14" s="9" t="str">
        <f t="shared" si="1"/>
        <v/>
      </c>
      <c r="AA14" s="9">
        <v>-1.5E-3</v>
      </c>
      <c r="AB14" s="9" t="str">
        <f t="shared" si="1"/>
        <v/>
      </c>
      <c r="AC14" s="9">
        <v>2.0000000000000001E-4</v>
      </c>
      <c r="AD14" s="9" t="str">
        <f t="shared" si="1"/>
        <v/>
      </c>
    </row>
    <row r="15" spans="1:30" x14ac:dyDescent="0.25">
      <c r="B15" s="9">
        <v>3.0000000000000001E-3</v>
      </c>
      <c r="C15" s="9" t="str">
        <f t="shared" si="0"/>
        <v/>
      </c>
      <c r="D15" s="9" t="str">
        <f>+CONCATENATE("(",ROUND(B15,3),")")</f>
        <v>(0,003)</v>
      </c>
      <c r="E15" s="9">
        <v>3.0000000000000001E-3</v>
      </c>
      <c r="F15" s="9" t="str">
        <f t="shared" si="0"/>
        <v/>
      </c>
      <c r="G15" s="9"/>
      <c r="H15" s="9" t="str">
        <f t="shared" si="0"/>
        <v/>
      </c>
      <c r="I15" s="9"/>
      <c r="J15" s="9" t="str">
        <f t="shared" si="0"/>
        <v/>
      </c>
      <c r="K15" s="9">
        <v>4.0000000000000001E-3</v>
      </c>
      <c r="L15" s="9" t="str">
        <f t="shared" si="0"/>
        <v/>
      </c>
      <c r="M15" s="9">
        <v>4.0000000000000001E-3</v>
      </c>
      <c r="N15" s="9" t="str">
        <f t="shared" si="2"/>
        <v/>
      </c>
      <c r="O15" s="9"/>
      <c r="P15" s="9" t="str">
        <f t="shared" si="2"/>
        <v/>
      </c>
      <c r="Q15" s="9"/>
      <c r="R15" s="9" t="str">
        <f t="shared" si="2"/>
        <v/>
      </c>
      <c r="S15" s="9">
        <v>2E-3</v>
      </c>
      <c r="T15" s="9" t="str">
        <f t="shared" si="2"/>
        <v/>
      </c>
      <c r="U15" s="9">
        <v>3.0000000000000001E-3</v>
      </c>
      <c r="V15" s="9" t="str">
        <f t="shared" si="2"/>
        <v/>
      </c>
      <c r="W15" s="9">
        <v>3.0000000000000001E-3</v>
      </c>
      <c r="X15" s="9" t="str">
        <f t="shared" si="2"/>
        <v/>
      </c>
      <c r="Y15" s="9">
        <v>3.0000000000000001E-3</v>
      </c>
      <c r="Z15" s="9" t="str">
        <f t="shared" si="1"/>
        <v/>
      </c>
      <c r="AA15" s="9">
        <v>2E-3</v>
      </c>
      <c r="AB15" s="9" t="str">
        <f t="shared" si="1"/>
        <v/>
      </c>
      <c r="AC15" s="9">
        <v>3.0000000000000001E-3</v>
      </c>
      <c r="AD15" s="9" t="str">
        <f t="shared" si="1"/>
        <v/>
      </c>
    </row>
    <row r="16" spans="1:30" x14ac:dyDescent="0.25">
      <c r="B16" s="9">
        <v>0.81799999999999995</v>
      </c>
      <c r="C16" s="9" t="str">
        <f t="shared" si="0"/>
        <v/>
      </c>
      <c r="D16" s="9"/>
      <c r="E16" s="9">
        <v>0.68700000000000006</v>
      </c>
      <c r="F16" s="9" t="str">
        <f t="shared" si="0"/>
        <v/>
      </c>
      <c r="G16" s="9"/>
      <c r="H16" s="9" t="str">
        <f t="shared" si="0"/>
        <v/>
      </c>
      <c r="I16" s="9"/>
      <c r="J16" s="9" t="str">
        <f t="shared" si="0"/>
        <v/>
      </c>
      <c r="K16" s="9">
        <v>7.9000000000000001E-2</v>
      </c>
      <c r="L16" s="9" t="str">
        <f t="shared" si="0"/>
        <v/>
      </c>
      <c r="M16" s="9">
        <v>8.7999999999999995E-2</v>
      </c>
      <c r="N16" s="9" t="str">
        <f t="shared" si="2"/>
        <v/>
      </c>
      <c r="O16" s="9"/>
      <c r="P16" s="9" t="str">
        <f t="shared" si="2"/>
        <v/>
      </c>
      <c r="Q16" s="9"/>
      <c r="R16" s="9" t="str">
        <f t="shared" si="2"/>
        <v/>
      </c>
      <c r="S16" s="9">
        <v>0.77900000000000003</v>
      </c>
      <c r="T16" s="9" t="str">
        <f t="shared" si="2"/>
        <v/>
      </c>
      <c r="U16" s="9">
        <v>0.73699999999999999</v>
      </c>
      <c r="V16" s="9" t="str">
        <f t="shared" si="2"/>
        <v/>
      </c>
      <c r="W16" s="9">
        <v>0.82099999999999995</v>
      </c>
      <c r="X16" s="9" t="str">
        <f t="shared" si="2"/>
        <v/>
      </c>
      <c r="Y16" s="9">
        <v>0.79800000000000004</v>
      </c>
      <c r="Z16" s="9" t="str">
        <f t="shared" si="1"/>
        <v/>
      </c>
      <c r="AA16" s="9">
        <v>0.54700000000000004</v>
      </c>
      <c r="AB16" s="9" t="str">
        <f t="shared" si="1"/>
        <v/>
      </c>
      <c r="AC16" s="9">
        <v>0.93700000000000006</v>
      </c>
      <c r="AD16" s="9" t="str">
        <f t="shared" si="1"/>
        <v/>
      </c>
    </row>
    <row r="17" spans="1:30" x14ac:dyDescent="0.25">
      <c r="A17" t="s">
        <v>34</v>
      </c>
      <c r="B17" s="9">
        <v>2.5999999999999999E-3</v>
      </c>
      <c r="C17" s="9" t="str">
        <f t="shared" si="0"/>
        <v/>
      </c>
      <c r="D17" s="9" t="str">
        <f>+CONCATENATE(ROUND(B17,3), " ",C17)</f>
        <v xml:space="preserve">0,003 </v>
      </c>
      <c r="E17" s="9">
        <v>5.5999999999999999E-3</v>
      </c>
      <c r="F17" s="9" t="str">
        <f t="shared" si="0"/>
        <v/>
      </c>
      <c r="G17" s="9">
        <v>-8.674E-5</v>
      </c>
      <c r="H17" s="9" t="str">
        <f t="shared" si="0"/>
        <v/>
      </c>
      <c r="I17" s="9">
        <v>2.5000000000000001E-3</v>
      </c>
      <c r="J17" s="9" t="str">
        <f t="shared" si="0"/>
        <v/>
      </c>
      <c r="K17" s="9"/>
      <c r="L17" s="9" t="str">
        <f t="shared" si="0"/>
        <v>***</v>
      </c>
      <c r="M17" s="9"/>
      <c r="N17" s="9" t="str">
        <f t="shared" si="2"/>
        <v>***</v>
      </c>
      <c r="O17" s="9">
        <v>-1.47E-2</v>
      </c>
      <c r="P17" s="9" t="str">
        <f t="shared" si="2"/>
        <v>*</v>
      </c>
      <c r="Q17" s="9">
        <v>-6.0000000000000001E-3</v>
      </c>
      <c r="R17" s="9" t="str">
        <f t="shared" si="2"/>
        <v/>
      </c>
      <c r="S17" s="9">
        <v>2.0000000000000001E-4</v>
      </c>
      <c r="T17" s="9" t="str">
        <f t="shared" si="2"/>
        <v/>
      </c>
      <c r="U17" s="9">
        <v>3.8999999999999998E-3</v>
      </c>
      <c r="V17" s="9" t="str">
        <f t="shared" si="2"/>
        <v/>
      </c>
      <c r="W17" s="9">
        <v>2.7000000000000001E-3</v>
      </c>
      <c r="X17" s="9" t="str">
        <f t="shared" si="2"/>
        <v/>
      </c>
      <c r="Y17" s="9">
        <v>5.7999999999999996E-3</v>
      </c>
      <c r="Z17" s="9" t="str">
        <f t="shared" si="1"/>
        <v/>
      </c>
      <c r="AA17" s="9">
        <v>-3.3999999999999998E-3</v>
      </c>
      <c r="AB17" s="9" t="str">
        <f t="shared" si="1"/>
        <v/>
      </c>
      <c r="AC17" s="9">
        <v>3.5000000000000001E-3</v>
      </c>
      <c r="AD17" s="9" t="str">
        <f t="shared" si="1"/>
        <v/>
      </c>
    </row>
    <row r="18" spans="1:30" x14ac:dyDescent="0.25">
      <c r="B18" s="9">
        <v>6.0000000000000001E-3</v>
      </c>
      <c r="C18" s="9" t="str">
        <f t="shared" si="0"/>
        <v/>
      </c>
      <c r="D18" s="9" t="str">
        <f>+CONCATENATE("(",ROUND(B18,3),")")</f>
        <v>(0,006)</v>
      </c>
      <c r="E18" s="9">
        <v>7.0000000000000001E-3</v>
      </c>
      <c r="F18" s="9" t="str">
        <f t="shared" si="0"/>
        <v/>
      </c>
      <c r="G18" s="9">
        <v>5.0000000000000001E-3</v>
      </c>
      <c r="H18" s="9" t="str">
        <f t="shared" si="0"/>
        <v/>
      </c>
      <c r="I18" s="9">
        <v>6.0000000000000001E-3</v>
      </c>
      <c r="J18" s="9" t="str">
        <f t="shared" si="0"/>
        <v/>
      </c>
      <c r="K18" s="9"/>
      <c r="L18" s="9" t="str">
        <f t="shared" si="0"/>
        <v/>
      </c>
      <c r="M18" s="9"/>
      <c r="N18" s="9" t="str">
        <f t="shared" si="2"/>
        <v/>
      </c>
      <c r="O18" s="9">
        <v>8.0000000000000002E-3</v>
      </c>
      <c r="P18" s="9" t="str">
        <f t="shared" si="2"/>
        <v/>
      </c>
      <c r="Q18" s="9">
        <v>8.9999999999999993E-3</v>
      </c>
      <c r="R18" s="9" t="str">
        <f t="shared" si="2"/>
        <v/>
      </c>
      <c r="S18" s="9">
        <v>6.0000000000000001E-3</v>
      </c>
      <c r="T18" s="9" t="str">
        <f t="shared" si="2"/>
        <v/>
      </c>
      <c r="U18" s="9">
        <v>7.0000000000000001E-3</v>
      </c>
      <c r="V18" s="9" t="str">
        <f t="shared" si="2"/>
        <v/>
      </c>
      <c r="W18" s="9">
        <v>6.0000000000000001E-3</v>
      </c>
      <c r="X18" s="9" t="str">
        <f t="shared" si="2"/>
        <v/>
      </c>
      <c r="Y18" s="9">
        <v>6.0000000000000001E-3</v>
      </c>
      <c r="Z18" s="9" t="str">
        <f t="shared" si="1"/>
        <v/>
      </c>
      <c r="AA18" s="9">
        <v>4.0000000000000001E-3</v>
      </c>
      <c r="AB18" s="9" t="str">
        <f t="shared" si="1"/>
        <v/>
      </c>
      <c r="AC18" s="9">
        <v>5.0000000000000001E-3</v>
      </c>
      <c r="AD18" s="9" t="str">
        <f t="shared" si="1"/>
        <v/>
      </c>
    </row>
    <row r="19" spans="1:30" x14ac:dyDescent="0.25">
      <c r="B19" s="9">
        <v>0.67200000000000004</v>
      </c>
      <c r="C19" s="9" t="str">
        <f t="shared" si="0"/>
        <v/>
      </c>
      <c r="D19" s="9"/>
      <c r="E19" s="9">
        <v>0.42799999999999999</v>
      </c>
      <c r="F19" s="9" t="str">
        <f t="shared" si="0"/>
        <v/>
      </c>
      <c r="G19" s="9">
        <v>0.98699999999999999</v>
      </c>
      <c r="H19" s="9" t="str">
        <f t="shared" si="0"/>
        <v/>
      </c>
      <c r="I19" s="9">
        <v>0.68799999999999994</v>
      </c>
      <c r="J19" s="9" t="str">
        <f t="shared" si="0"/>
        <v/>
      </c>
      <c r="K19" s="9"/>
      <c r="L19" s="9" t="str">
        <f t="shared" si="0"/>
        <v/>
      </c>
      <c r="M19" s="9"/>
      <c r="N19" s="9" t="str">
        <f t="shared" si="2"/>
        <v/>
      </c>
      <c r="O19" s="9">
        <v>6.4000000000000001E-2</v>
      </c>
      <c r="P19" s="9" t="str">
        <f t="shared" si="2"/>
        <v/>
      </c>
      <c r="Q19" s="9">
        <v>0.48199999999999998</v>
      </c>
      <c r="R19" s="9" t="str">
        <f t="shared" si="2"/>
        <v/>
      </c>
      <c r="S19" s="9">
        <v>0.97899999999999998</v>
      </c>
      <c r="T19" s="9" t="str">
        <f t="shared" si="2"/>
        <v/>
      </c>
      <c r="U19" s="9">
        <v>0.55700000000000005</v>
      </c>
      <c r="V19" s="9" t="str">
        <f t="shared" si="2"/>
        <v/>
      </c>
      <c r="W19" s="9">
        <v>0.63100000000000001</v>
      </c>
      <c r="X19" s="9" t="str">
        <f t="shared" si="2"/>
        <v/>
      </c>
      <c r="Y19" s="9">
        <v>0.36</v>
      </c>
      <c r="Z19" s="9" t="str">
        <f t="shared" si="1"/>
        <v/>
      </c>
      <c r="AA19" s="9">
        <v>0.43099999999999999</v>
      </c>
      <c r="AB19" s="9" t="str">
        <f t="shared" si="1"/>
        <v/>
      </c>
      <c r="AC19" s="9">
        <v>0.51100000000000001</v>
      </c>
      <c r="AD19" s="9" t="str">
        <f t="shared" si="1"/>
        <v/>
      </c>
    </row>
    <row r="20" spans="1:30" x14ac:dyDescent="0.25">
      <c r="A20" t="s">
        <v>35</v>
      </c>
      <c r="B20" s="9">
        <v>1.6904999999999999</v>
      </c>
      <c r="C20" s="9" t="str">
        <f t="shared" si="0"/>
        <v>***</v>
      </c>
      <c r="D20" s="9" t="str">
        <f>+CONCATENATE(ROUND(B20,3), " ",C20)</f>
        <v>1,691 ***</v>
      </c>
      <c r="E20" s="9">
        <v>1.6788000000000001</v>
      </c>
      <c r="F20" s="9" t="str">
        <f t="shared" si="0"/>
        <v>***</v>
      </c>
      <c r="G20" s="9"/>
      <c r="H20" s="9" t="str">
        <f t="shared" si="0"/>
        <v>***</v>
      </c>
      <c r="I20" s="9"/>
      <c r="J20" s="9" t="str">
        <f t="shared" si="0"/>
        <v>***</v>
      </c>
      <c r="K20" s="9">
        <v>0.59709999999999996</v>
      </c>
      <c r="L20" s="9" t="str">
        <f t="shared" si="0"/>
        <v/>
      </c>
      <c r="M20" s="9">
        <v>0.69699999999999995</v>
      </c>
      <c r="N20" s="9" t="str">
        <f t="shared" si="2"/>
        <v/>
      </c>
      <c r="O20" s="9">
        <v>0.67320000000000002</v>
      </c>
      <c r="P20" s="9" t="str">
        <f t="shared" si="2"/>
        <v/>
      </c>
      <c r="Q20" s="9">
        <v>0.54359999999999997</v>
      </c>
      <c r="R20" s="9" t="str">
        <f t="shared" si="2"/>
        <v/>
      </c>
      <c r="S20" s="9">
        <v>1.6287</v>
      </c>
      <c r="T20" s="9" t="str">
        <f t="shared" si="2"/>
        <v>***</v>
      </c>
      <c r="U20" s="9">
        <v>1.6319999999999999</v>
      </c>
      <c r="V20" s="9" t="str">
        <f t="shared" si="2"/>
        <v>***</v>
      </c>
      <c r="W20" s="9"/>
      <c r="X20" s="9" t="str">
        <f t="shared" si="2"/>
        <v>***</v>
      </c>
      <c r="Y20" s="9"/>
      <c r="Z20" s="9" t="str">
        <f t="shared" si="1"/>
        <v>***</v>
      </c>
      <c r="AA20" s="9">
        <v>1.6476</v>
      </c>
      <c r="AB20" s="9" t="str">
        <f t="shared" si="1"/>
        <v>***</v>
      </c>
      <c r="AC20" s="9">
        <v>1.7215</v>
      </c>
      <c r="AD20" s="9" t="str">
        <f t="shared" si="1"/>
        <v>***</v>
      </c>
    </row>
    <row r="21" spans="1:30" x14ac:dyDescent="0.25">
      <c r="B21" s="9">
        <v>0.56299999999999994</v>
      </c>
      <c r="C21" s="9" t="str">
        <f t="shared" si="0"/>
        <v/>
      </c>
      <c r="D21" s="9" t="str">
        <f>+CONCATENATE("(",ROUND(B21,3),")")</f>
        <v>(0,563)</v>
      </c>
      <c r="E21" s="9">
        <v>0.58899999999999997</v>
      </c>
      <c r="F21" s="9" t="str">
        <f t="shared" si="0"/>
        <v/>
      </c>
      <c r="G21" s="9"/>
      <c r="H21" s="9" t="str">
        <f t="shared" si="0"/>
        <v/>
      </c>
      <c r="I21" s="9"/>
      <c r="J21" s="9" t="str">
        <f t="shared" si="0"/>
        <v/>
      </c>
      <c r="K21" s="9">
        <v>0.81200000000000006</v>
      </c>
      <c r="L21" s="9" t="str">
        <f t="shared" si="0"/>
        <v/>
      </c>
      <c r="M21" s="9">
        <v>0.79700000000000004</v>
      </c>
      <c r="N21" s="9" t="str">
        <f t="shared" si="2"/>
        <v/>
      </c>
      <c r="O21" s="9">
        <v>0.81100000000000005</v>
      </c>
      <c r="P21" s="9" t="str">
        <f t="shared" si="2"/>
        <v/>
      </c>
      <c r="Q21" s="9">
        <v>0.80200000000000005</v>
      </c>
      <c r="R21" s="9" t="str">
        <f t="shared" si="2"/>
        <v/>
      </c>
      <c r="S21" s="9">
        <v>0.55100000000000005</v>
      </c>
      <c r="T21" s="9" t="str">
        <f t="shared" si="2"/>
        <v/>
      </c>
      <c r="U21" s="9">
        <v>0.57899999999999996</v>
      </c>
      <c r="V21" s="9" t="str">
        <f t="shared" si="2"/>
        <v/>
      </c>
      <c r="W21" s="9"/>
      <c r="X21" s="9" t="str">
        <f t="shared" si="2"/>
        <v/>
      </c>
      <c r="Y21" s="9"/>
      <c r="Z21" s="9" t="str">
        <f t="shared" si="1"/>
        <v/>
      </c>
      <c r="AA21" s="9">
        <v>0.55200000000000005</v>
      </c>
      <c r="AB21" s="9" t="str">
        <f t="shared" si="1"/>
        <v/>
      </c>
      <c r="AC21" s="9">
        <v>0.57899999999999996</v>
      </c>
      <c r="AD21" s="9" t="str">
        <f t="shared" si="1"/>
        <v/>
      </c>
    </row>
    <row r="22" spans="1:30" x14ac:dyDescent="0.25">
      <c r="B22" s="9">
        <v>3.0000000000000001E-3</v>
      </c>
      <c r="C22" s="9" t="str">
        <f t="shared" si="0"/>
        <v/>
      </c>
      <c r="D22" s="9"/>
      <c r="E22" s="9">
        <v>5.0000000000000001E-3</v>
      </c>
      <c r="F22" s="9" t="str">
        <f t="shared" si="0"/>
        <v/>
      </c>
      <c r="G22" s="9"/>
      <c r="H22" s="9" t="str">
        <f t="shared" si="0"/>
        <v/>
      </c>
      <c r="I22" s="9"/>
      <c r="J22" s="9" t="str">
        <f t="shared" si="0"/>
        <v/>
      </c>
      <c r="K22" s="9">
        <v>0.46300000000000002</v>
      </c>
      <c r="L22" s="9" t="str">
        <f t="shared" si="0"/>
        <v/>
      </c>
      <c r="M22" s="9">
        <v>0.38200000000000001</v>
      </c>
      <c r="N22" s="9" t="str">
        <f t="shared" si="2"/>
        <v/>
      </c>
      <c r="O22" s="9">
        <v>0.40699999999999997</v>
      </c>
      <c r="P22" s="9" t="str">
        <f t="shared" si="2"/>
        <v/>
      </c>
      <c r="Q22" s="9">
        <v>0.498</v>
      </c>
      <c r="R22" s="9" t="str">
        <f t="shared" si="2"/>
        <v/>
      </c>
      <c r="S22" s="9">
        <v>3.0000000000000001E-3</v>
      </c>
      <c r="T22" s="9" t="str">
        <f t="shared" si="2"/>
        <v/>
      </c>
      <c r="U22" s="9">
        <v>5.0000000000000001E-3</v>
      </c>
      <c r="V22" s="9" t="str">
        <f t="shared" si="2"/>
        <v/>
      </c>
      <c r="W22" s="9"/>
      <c r="X22" s="9" t="str">
        <f t="shared" si="2"/>
        <v/>
      </c>
      <c r="Y22" s="9"/>
      <c r="Z22" s="9" t="str">
        <f t="shared" si="1"/>
        <v/>
      </c>
      <c r="AA22" s="9">
        <v>3.0000000000000001E-3</v>
      </c>
      <c r="AB22" s="9" t="str">
        <f t="shared" si="1"/>
        <v/>
      </c>
      <c r="AC22" s="9">
        <v>3.0000000000000001E-3</v>
      </c>
      <c r="AD22" s="9" t="str">
        <f t="shared" si="1"/>
        <v/>
      </c>
    </row>
    <row r="23" spans="1:30" x14ac:dyDescent="0.25">
      <c r="A23" t="s">
        <v>36</v>
      </c>
      <c r="B23" s="9">
        <v>6.9380000000000003E-5</v>
      </c>
      <c r="C23" s="9" t="str">
        <f t="shared" si="0"/>
        <v/>
      </c>
      <c r="D23" s="9" t="str">
        <f>+CONCATENATE(ROUND(B23,3), " ",C23)</f>
        <v xml:space="preserve">0 </v>
      </c>
      <c r="E23" s="9">
        <v>3.9319999999999998E-6</v>
      </c>
      <c r="F23" s="9" t="str">
        <f t="shared" si="0"/>
        <v/>
      </c>
      <c r="G23" s="9"/>
      <c r="H23" s="9" t="str">
        <f t="shared" si="0"/>
        <v>***</v>
      </c>
      <c r="I23" s="9"/>
      <c r="J23" s="9" t="str">
        <f t="shared" si="0"/>
        <v>***</v>
      </c>
      <c r="K23" s="9"/>
      <c r="L23" s="9" t="str">
        <f t="shared" si="0"/>
        <v>***</v>
      </c>
      <c r="M23" s="9"/>
      <c r="N23" s="9" t="str">
        <f t="shared" si="2"/>
        <v>***</v>
      </c>
      <c r="O23" s="9"/>
      <c r="P23" s="9" t="str">
        <f t="shared" si="2"/>
        <v>***</v>
      </c>
      <c r="Q23" s="9"/>
      <c r="R23" s="9" t="str">
        <f t="shared" si="2"/>
        <v>***</v>
      </c>
      <c r="S23" s="9"/>
      <c r="T23" s="9" t="str">
        <f t="shared" si="2"/>
        <v>***</v>
      </c>
      <c r="U23" s="9"/>
      <c r="V23" s="9" t="str">
        <f t="shared" si="2"/>
        <v>***</v>
      </c>
      <c r="W23" s="9"/>
      <c r="X23" s="9" t="str">
        <f t="shared" si="2"/>
        <v>***</v>
      </c>
      <c r="Y23" s="9"/>
      <c r="Z23" s="9" t="str">
        <f t="shared" si="1"/>
        <v>***</v>
      </c>
      <c r="AA23" s="9">
        <v>9.1560000000000001E-6</v>
      </c>
      <c r="AB23" s="9" t="str">
        <f t="shared" si="1"/>
        <v/>
      </c>
      <c r="AC23" s="9">
        <v>-4.6669999999999999E-5</v>
      </c>
      <c r="AD23" s="9" t="str">
        <f t="shared" si="1"/>
        <v/>
      </c>
    </row>
    <row r="24" spans="1:30" x14ac:dyDescent="0.25">
      <c r="B24" s="9">
        <v>0</v>
      </c>
      <c r="C24" s="9" t="str">
        <f t="shared" si="0"/>
        <v/>
      </c>
      <c r="D24" s="9" t="str">
        <f>+CONCATENATE("(",ROUND(B24,3),")")</f>
        <v>(0)</v>
      </c>
      <c r="E24" s="9">
        <v>0</v>
      </c>
      <c r="F24" s="9" t="str">
        <f t="shared" si="0"/>
        <v/>
      </c>
      <c r="G24" s="9"/>
      <c r="H24" s="9" t="str">
        <f t="shared" si="0"/>
        <v/>
      </c>
      <c r="I24" s="9"/>
      <c r="J24" s="9" t="str">
        <f t="shared" si="0"/>
        <v/>
      </c>
      <c r="K24" s="9"/>
      <c r="L24" s="9" t="str">
        <f t="shared" si="0"/>
        <v/>
      </c>
      <c r="M24" s="9"/>
      <c r="N24" s="9" t="str">
        <f t="shared" si="2"/>
        <v/>
      </c>
      <c r="O24" s="9"/>
      <c r="P24" s="9" t="str">
        <f t="shared" si="2"/>
        <v/>
      </c>
      <c r="Q24" s="9"/>
      <c r="R24" s="9" t="str">
        <f t="shared" si="2"/>
        <v/>
      </c>
      <c r="S24" s="9"/>
      <c r="T24" s="9" t="str">
        <f t="shared" si="2"/>
        <v/>
      </c>
      <c r="U24" s="9"/>
      <c r="V24" s="9" t="str">
        <f t="shared" si="2"/>
        <v/>
      </c>
      <c r="W24" s="9"/>
      <c r="X24" s="9" t="str">
        <f t="shared" si="2"/>
        <v/>
      </c>
      <c r="Y24" s="9"/>
      <c r="Z24" s="9" t="str">
        <f t="shared" si="1"/>
        <v/>
      </c>
      <c r="AA24" s="9">
        <v>0</v>
      </c>
      <c r="AB24" s="9" t="str">
        <f t="shared" si="1"/>
        <v/>
      </c>
      <c r="AC24" s="9">
        <v>0</v>
      </c>
      <c r="AD24" s="9" t="str">
        <f t="shared" si="1"/>
        <v/>
      </c>
    </row>
    <row r="25" spans="1:30" x14ac:dyDescent="0.25">
      <c r="B25" s="9">
        <v>0.56499999999999995</v>
      </c>
      <c r="C25" s="9" t="str">
        <f t="shared" si="0"/>
        <v/>
      </c>
      <c r="D25" s="9"/>
      <c r="E25" s="9">
        <v>0.97499999999999998</v>
      </c>
      <c r="F25" s="9" t="str">
        <f t="shared" si="0"/>
        <v/>
      </c>
      <c r="G25" s="9"/>
      <c r="H25" s="9" t="str">
        <f t="shared" si="0"/>
        <v/>
      </c>
      <c r="I25" s="9"/>
      <c r="J25" s="9" t="str">
        <f t="shared" si="0"/>
        <v/>
      </c>
      <c r="K25" s="9"/>
      <c r="L25" s="9" t="str">
        <f t="shared" si="0"/>
        <v/>
      </c>
      <c r="M25" s="9"/>
      <c r="N25" s="9" t="str">
        <f t="shared" si="2"/>
        <v/>
      </c>
      <c r="O25" s="9"/>
      <c r="P25" s="9" t="str">
        <f t="shared" si="2"/>
        <v/>
      </c>
      <c r="Q25" s="9"/>
      <c r="R25" s="9" t="str">
        <f t="shared" si="2"/>
        <v/>
      </c>
      <c r="S25" s="9"/>
      <c r="T25" s="9" t="str">
        <f t="shared" si="2"/>
        <v/>
      </c>
      <c r="U25" s="9"/>
      <c r="V25" s="9" t="str">
        <f t="shared" si="2"/>
        <v/>
      </c>
      <c r="W25" s="9"/>
      <c r="X25" s="9" t="str">
        <f t="shared" si="2"/>
        <v/>
      </c>
      <c r="Y25" s="9"/>
      <c r="Z25" s="9" t="str">
        <f t="shared" si="1"/>
        <v/>
      </c>
      <c r="AA25" s="9">
        <v>0.93799999999999994</v>
      </c>
      <c r="AB25" s="9" t="str">
        <f t="shared" si="1"/>
        <v/>
      </c>
      <c r="AC25" s="9">
        <v>0.70699999999999996</v>
      </c>
      <c r="AD25" s="9" t="str">
        <f t="shared" si="1"/>
        <v/>
      </c>
    </row>
    <row r="26" spans="1:30" x14ac:dyDescent="0.25">
      <c r="A26" t="s">
        <v>37</v>
      </c>
      <c r="B26" s="9">
        <v>-6.2239999999999994E-8</v>
      </c>
      <c r="C26" s="9" t="str">
        <f t="shared" si="0"/>
        <v/>
      </c>
      <c r="D26" s="9" t="str">
        <f>+CONCATENATE(ROUND(B26,3), " ",C26)</f>
        <v xml:space="preserve">0 </v>
      </c>
      <c r="E26" s="9">
        <v>4.9549999999999997E-8</v>
      </c>
      <c r="F26" s="9" t="str">
        <f t="shared" si="0"/>
        <v/>
      </c>
      <c r="G26" s="9">
        <v>-1.8E-7</v>
      </c>
      <c r="H26" s="9" t="str">
        <f t="shared" si="0"/>
        <v/>
      </c>
      <c r="I26" s="9">
        <v>-6.7550000000000006E-8</v>
      </c>
      <c r="J26" s="9" t="str">
        <f t="shared" si="0"/>
        <v/>
      </c>
      <c r="K26" s="9"/>
      <c r="L26" s="9" t="str">
        <f t="shared" si="0"/>
        <v>***</v>
      </c>
      <c r="M26" s="9"/>
      <c r="N26" s="9" t="str">
        <f t="shared" si="2"/>
        <v>***</v>
      </c>
      <c r="O26" s="9"/>
      <c r="P26" s="9" t="str">
        <f t="shared" si="2"/>
        <v>***</v>
      </c>
      <c r="Q26" s="9"/>
      <c r="R26" s="9" t="str">
        <f t="shared" si="2"/>
        <v>***</v>
      </c>
      <c r="S26" s="9">
        <v>1.8460000000000001E-8</v>
      </c>
      <c r="T26" s="9" t="str">
        <f t="shared" si="2"/>
        <v/>
      </c>
      <c r="U26" s="9">
        <v>1.7030000000000001E-7</v>
      </c>
      <c r="V26" s="9" t="str">
        <f t="shared" si="2"/>
        <v/>
      </c>
      <c r="W26" s="9"/>
      <c r="X26" s="9" t="str">
        <f t="shared" si="2"/>
        <v>***</v>
      </c>
      <c r="Y26" s="9"/>
      <c r="Z26" s="9" t="str">
        <f t="shared" si="1"/>
        <v>***</v>
      </c>
      <c r="AA26" s="9"/>
      <c r="AB26" s="9" t="str">
        <f t="shared" si="1"/>
        <v>***</v>
      </c>
      <c r="AC26" s="9"/>
      <c r="AD26" s="9" t="str">
        <f t="shared" si="1"/>
        <v>***</v>
      </c>
    </row>
    <row r="27" spans="1:30" x14ac:dyDescent="0.25">
      <c r="B27" s="9">
        <v>4.63E-7</v>
      </c>
      <c r="C27" s="9" t="str">
        <f t="shared" si="0"/>
        <v/>
      </c>
      <c r="D27" s="9" t="str">
        <f>+CONCATENATE("(",ROUND(B27,3),")")</f>
        <v>(0)</v>
      </c>
      <c r="E27" s="9">
        <v>4.7999999999999996E-7</v>
      </c>
      <c r="F27" s="9" t="str">
        <f t="shared" si="0"/>
        <v/>
      </c>
      <c r="G27" s="9">
        <v>4.58E-7</v>
      </c>
      <c r="H27" s="9" t="str">
        <f t="shared" si="0"/>
        <v/>
      </c>
      <c r="I27" s="9">
        <v>4.7E-7</v>
      </c>
      <c r="J27" s="9" t="str">
        <f t="shared" si="0"/>
        <v/>
      </c>
      <c r="K27" s="9"/>
      <c r="L27" s="9" t="str">
        <f t="shared" si="0"/>
        <v/>
      </c>
      <c r="M27" s="9"/>
      <c r="N27" s="9" t="str">
        <f t="shared" si="2"/>
        <v/>
      </c>
      <c r="O27" s="9"/>
      <c r="P27" s="9" t="str">
        <f t="shared" si="2"/>
        <v/>
      </c>
      <c r="Q27" s="9"/>
      <c r="R27" s="9" t="str">
        <f t="shared" si="2"/>
        <v/>
      </c>
      <c r="S27" s="9">
        <v>4.4099999999999999E-7</v>
      </c>
      <c r="T27" s="9" t="str">
        <f t="shared" si="2"/>
        <v/>
      </c>
      <c r="U27" s="9">
        <v>4.5400000000000002E-7</v>
      </c>
      <c r="V27" s="9" t="str">
        <f t="shared" si="2"/>
        <v/>
      </c>
      <c r="W27" s="9"/>
      <c r="X27" s="9" t="str">
        <f t="shared" si="2"/>
        <v/>
      </c>
      <c r="Y27" s="9"/>
      <c r="Z27" s="9" t="str">
        <f t="shared" si="1"/>
        <v/>
      </c>
      <c r="AA27" s="9"/>
      <c r="AB27" s="9" t="str">
        <f t="shared" si="1"/>
        <v/>
      </c>
      <c r="AC27" s="9"/>
      <c r="AD27" s="9" t="str">
        <f t="shared" si="1"/>
        <v/>
      </c>
    </row>
    <row r="28" spans="1:30" x14ac:dyDescent="0.25">
      <c r="B28" s="9">
        <v>0.89300000000000002</v>
      </c>
      <c r="C28" s="9" t="str">
        <f t="shared" si="0"/>
        <v/>
      </c>
      <c r="D28" s="9"/>
      <c r="E28" s="9">
        <v>0.91800000000000004</v>
      </c>
      <c r="F28" s="9" t="str">
        <f t="shared" si="0"/>
        <v/>
      </c>
      <c r="G28" s="9">
        <v>0.69399999999999995</v>
      </c>
      <c r="H28" s="9" t="str">
        <f t="shared" si="0"/>
        <v/>
      </c>
      <c r="I28" s="9">
        <v>0.88600000000000001</v>
      </c>
      <c r="J28" s="9" t="str">
        <f t="shared" si="0"/>
        <v/>
      </c>
      <c r="K28" s="9"/>
      <c r="L28" s="9" t="str">
        <f t="shared" si="0"/>
        <v/>
      </c>
      <c r="M28" s="9"/>
      <c r="N28" s="9" t="str">
        <f t="shared" si="2"/>
        <v/>
      </c>
      <c r="O28" s="9"/>
      <c r="P28" s="9" t="str">
        <f t="shared" si="2"/>
        <v/>
      </c>
      <c r="Q28" s="9"/>
      <c r="R28" s="9" t="str">
        <f t="shared" si="2"/>
        <v/>
      </c>
      <c r="S28" s="9">
        <v>0.96699999999999997</v>
      </c>
      <c r="T28" s="9" t="str">
        <f t="shared" si="2"/>
        <v/>
      </c>
      <c r="U28" s="9">
        <v>0.70799999999999996</v>
      </c>
      <c r="V28" s="9" t="str">
        <f t="shared" si="2"/>
        <v/>
      </c>
      <c r="W28" s="9"/>
      <c r="X28" s="9" t="str">
        <f t="shared" si="2"/>
        <v/>
      </c>
      <c r="Y28" s="9"/>
      <c r="Z28" s="9" t="str">
        <f t="shared" si="1"/>
        <v/>
      </c>
      <c r="AA28" s="9"/>
      <c r="AB28" s="9" t="str">
        <f t="shared" si="1"/>
        <v/>
      </c>
      <c r="AC28" s="9"/>
      <c r="AD28" s="9" t="str">
        <f t="shared" si="1"/>
        <v/>
      </c>
    </row>
    <row r="29" spans="1:30" x14ac:dyDescent="0.25">
      <c r="A29" t="s">
        <v>38</v>
      </c>
      <c r="B29" s="9">
        <v>0.81389999999999996</v>
      </c>
      <c r="C29" s="9" t="str">
        <f t="shared" si="0"/>
        <v/>
      </c>
      <c r="D29" s="9" t="str">
        <f>+CONCATENATE(ROUND(B29,3), " ",C29)</f>
        <v xml:space="preserve">0,814 </v>
      </c>
      <c r="E29" s="9">
        <v>0.90859999999999996</v>
      </c>
      <c r="F29" s="9" t="str">
        <f t="shared" si="0"/>
        <v/>
      </c>
      <c r="G29" s="9"/>
      <c r="H29" s="9" t="str">
        <f t="shared" si="0"/>
        <v>***</v>
      </c>
      <c r="I29" s="9"/>
      <c r="J29" s="9" t="str">
        <f t="shared" si="0"/>
        <v>***</v>
      </c>
      <c r="K29" s="9"/>
      <c r="L29" s="9" t="str">
        <f t="shared" si="0"/>
        <v>***</v>
      </c>
      <c r="M29" s="9"/>
      <c r="N29" s="9" t="str">
        <f t="shared" si="2"/>
        <v>***</v>
      </c>
      <c r="O29" s="9">
        <v>0.68489999999999995</v>
      </c>
      <c r="P29" s="9" t="str">
        <f t="shared" si="2"/>
        <v/>
      </c>
      <c r="Q29" s="9">
        <v>1.66E-2</v>
      </c>
      <c r="R29" s="9" t="str">
        <f t="shared" si="2"/>
        <v/>
      </c>
      <c r="S29" s="9">
        <v>-0.2823</v>
      </c>
      <c r="T29" s="9" t="str">
        <f t="shared" si="2"/>
        <v>**</v>
      </c>
      <c r="U29" s="9">
        <v>-0.35620000000000002</v>
      </c>
      <c r="V29" s="9" t="str">
        <f t="shared" si="2"/>
        <v>*</v>
      </c>
      <c r="W29" s="9">
        <v>0.56359999999999999</v>
      </c>
      <c r="X29" s="9" t="str">
        <f t="shared" si="2"/>
        <v/>
      </c>
      <c r="Y29" s="9">
        <v>0.83830000000000005</v>
      </c>
      <c r="Z29" s="9" t="str">
        <f t="shared" si="1"/>
        <v/>
      </c>
      <c r="AA29" s="9"/>
      <c r="AB29" s="9" t="str">
        <f t="shared" si="1"/>
        <v>***</v>
      </c>
      <c r="AC29" s="9"/>
      <c r="AD29" s="9" t="str">
        <f t="shared" si="1"/>
        <v>***</v>
      </c>
    </row>
    <row r="30" spans="1:30" x14ac:dyDescent="0.25">
      <c r="B30" s="9">
        <v>0.75</v>
      </c>
      <c r="C30" s="9" t="str">
        <f t="shared" si="0"/>
        <v/>
      </c>
      <c r="D30" s="9" t="str">
        <f>+CONCATENATE("(",ROUND(B30,3),")")</f>
        <v>(0,75)</v>
      </c>
      <c r="E30" s="9">
        <v>0.92700000000000005</v>
      </c>
      <c r="F30" s="9" t="str">
        <f t="shared" si="0"/>
        <v/>
      </c>
      <c r="G30" s="9"/>
      <c r="H30" s="9" t="str">
        <f t="shared" si="0"/>
        <v/>
      </c>
      <c r="I30" s="9"/>
      <c r="J30" s="9" t="str">
        <f t="shared" si="0"/>
        <v/>
      </c>
      <c r="K30" s="9"/>
      <c r="L30" s="9" t="str">
        <f t="shared" si="0"/>
        <v/>
      </c>
      <c r="M30" s="9"/>
      <c r="N30" s="9" t="str">
        <f t="shared" si="2"/>
        <v/>
      </c>
      <c r="O30" s="9">
        <v>1.004</v>
      </c>
      <c r="P30" s="9" t="str">
        <f t="shared" si="2"/>
        <v/>
      </c>
      <c r="Q30" s="9">
        <v>1.1990000000000001</v>
      </c>
      <c r="R30" s="9" t="str">
        <f t="shared" si="2"/>
        <v/>
      </c>
      <c r="S30" s="9">
        <v>0.126</v>
      </c>
      <c r="T30" s="9" t="str">
        <f t="shared" si="2"/>
        <v/>
      </c>
      <c r="U30" s="9">
        <v>0.185</v>
      </c>
      <c r="V30" s="9" t="str">
        <f t="shared" si="2"/>
        <v/>
      </c>
      <c r="W30" s="9">
        <v>0.66600000000000004</v>
      </c>
      <c r="X30" s="9" t="str">
        <f t="shared" si="2"/>
        <v/>
      </c>
      <c r="Y30" s="9">
        <v>0.85799999999999998</v>
      </c>
      <c r="Z30" s="9" t="str">
        <f t="shared" si="1"/>
        <v/>
      </c>
      <c r="AA30" s="9"/>
      <c r="AB30" s="9" t="str">
        <f t="shared" si="1"/>
        <v/>
      </c>
      <c r="AC30" s="9"/>
      <c r="AD30" s="9" t="str">
        <f t="shared" si="1"/>
        <v/>
      </c>
    </row>
    <row r="31" spans="1:30" x14ac:dyDescent="0.25">
      <c r="B31" s="9">
        <v>0.27900000000000003</v>
      </c>
      <c r="C31" s="9" t="str">
        <f t="shared" si="0"/>
        <v/>
      </c>
      <c r="D31" s="9"/>
      <c r="E31" s="9">
        <v>0.32700000000000001</v>
      </c>
      <c r="F31" s="9" t="str">
        <f t="shared" si="0"/>
        <v/>
      </c>
      <c r="G31" s="9"/>
      <c r="H31" s="9" t="str">
        <f t="shared" si="0"/>
        <v/>
      </c>
      <c r="I31" s="9"/>
      <c r="J31" s="9" t="str">
        <f t="shared" si="0"/>
        <v/>
      </c>
      <c r="K31" s="9"/>
      <c r="L31" s="9" t="str">
        <f t="shared" si="0"/>
        <v/>
      </c>
      <c r="M31" s="9"/>
      <c r="N31" s="9" t="str">
        <f t="shared" si="2"/>
        <v/>
      </c>
      <c r="O31" s="9">
        <v>0.495</v>
      </c>
      <c r="P31" s="9" t="str">
        <f t="shared" si="2"/>
        <v/>
      </c>
      <c r="Q31" s="9">
        <v>0.98899999999999999</v>
      </c>
      <c r="R31" s="9" t="str">
        <f t="shared" si="2"/>
        <v/>
      </c>
      <c r="S31" s="9">
        <v>2.5000000000000001E-2</v>
      </c>
      <c r="T31" s="9" t="str">
        <f t="shared" si="2"/>
        <v/>
      </c>
      <c r="U31" s="9">
        <v>5.5E-2</v>
      </c>
      <c r="V31" s="9" t="str">
        <f t="shared" si="2"/>
        <v/>
      </c>
      <c r="W31" s="9">
        <v>0.39800000000000002</v>
      </c>
      <c r="X31" s="9" t="str">
        <f t="shared" si="2"/>
        <v/>
      </c>
      <c r="Y31" s="9">
        <v>0.32900000000000001</v>
      </c>
      <c r="Z31" s="9" t="str">
        <f t="shared" si="1"/>
        <v/>
      </c>
      <c r="AA31" s="9"/>
      <c r="AB31" s="9" t="str">
        <f t="shared" si="1"/>
        <v/>
      </c>
      <c r="AC31" s="9"/>
      <c r="AD31" s="9" t="str">
        <f t="shared" si="1"/>
        <v/>
      </c>
    </row>
    <row r="32" spans="1:30" x14ac:dyDescent="0.25">
      <c r="A32" t="s">
        <v>39</v>
      </c>
      <c r="B32" s="9">
        <v>-2.9999999999999997E-4</v>
      </c>
      <c r="C32" s="9" t="str">
        <f t="shared" si="0"/>
        <v/>
      </c>
      <c r="D32" s="9" t="str">
        <f>+CONCATENATE(ROUND(B32,3), " ",C32)</f>
        <v xml:space="preserve">0 </v>
      </c>
      <c r="E32" s="9">
        <v>-2.0000000000000001E-4</v>
      </c>
      <c r="F32" s="9" t="str">
        <f t="shared" si="0"/>
        <v/>
      </c>
      <c r="G32" s="9"/>
      <c r="H32" s="9" t="str">
        <f t="shared" si="0"/>
        <v>***</v>
      </c>
      <c r="I32" s="9"/>
      <c r="J32" s="9" t="str">
        <f t="shared" si="0"/>
        <v>***</v>
      </c>
      <c r="K32" s="9">
        <v>8.9999999999999998E-4</v>
      </c>
      <c r="L32" s="9" t="str">
        <f t="shared" si="0"/>
        <v/>
      </c>
      <c r="M32" s="9">
        <v>1.1000000000000001E-3</v>
      </c>
      <c r="N32" s="9" t="str">
        <f t="shared" si="2"/>
        <v/>
      </c>
      <c r="O32" s="9">
        <v>1.1999999999999999E-3</v>
      </c>
      <c r="P32" s="9" t="str">
        <f t="shared" si="2"/>
        <v/>
      </c>
      <c r="Q32" s="9">
        <v>1E-3</v>
      </c>
      <c r="R32" s="9" t="str">
        <f t="shared" si="2"/>
        <v/>
      </c>
      <c r="S32" s="9">
        <v>-2.9999999999999997E-4</v>
      </c>
      <c r="T32" s="9" t="str">
        <f t="shared" si="2"/>
        <v/>
      </c>
      <c r="U32" s="9">
        <v>-2.0000000000000001E-4</v>
      </c>
      <c r="V32" s="9" t="str">
        <f t="shared" si="2"/>
        <v/>
      </c>
      <c r="W32" s="9"/>
      <c r="X32" s="9" t="str">
        <f t="shared" si="2"/>
        <v>***</v>
      </c>
      <c r="Y32" s="9"/>
      <c r="Z32" s="9" t="str">
        <f t="shared" si="1"/>
        <v>***</v>
      </c>
      <c r="AA32" s="9">
        <v>-5.0000000000000001E-4</v>
      </c>
      <c r="AB32" s="9" t="str">
        <f t="shared" si="1"/>
        <v/>
      </c>
      <c r="AC32" s="9">
        <v>-2.9999999999999997E-4</v>
      </c>
      <c r="AD32" s="9" t="str">
        <f t="shared" si="1"/>
        <v/>
      </c>
    </row>
    <row r="33" spans="1:30" x14ac:dyDescent="0.25">
      <c r="B33" s="9">
        <v>1E-3</v>
      </c>
      <c r="C33" s="9" t="str">
        <f t="shared" si="0"/>
        <v/>
      </c>
      <c r="D33" s="9" t="str">
        <f>+CONCATENATE("(",ROUND(B33,3),")")</f>
        <v>(0,001)</v>
      </c>
      <c r="E33" s="9">
        <v>1E-3</v>
      </c>
      <c r="F33" s="9" t="str">
        <f t="shared" si="0"/>
        <v/>
      </c>
      <c r="G33" s="9"/>
      <c r="H33" s="9" t="str">
        <f t="shared" si="0"/>
        <v/>
      </c>
      <c r="I33" s="9"/>
      <c r="J33" s="9" t="str">
        <f t="shared" si="0"/>
        <v/>
      </c>
      <c r="K33" s="9">
        <v>2E-3</v>
      </c>
      <c r="L33" s="9" t="str">
        <f t="shared" si="0"/>
        <v/>
      </c>
      <c r="M33" s="9">
        <v>2E-3</v>
      </c>
      <c r="N33" s="9" t="str">
        <f t="shared" si="2"/>
        <v/>
      </c>
      <c r="O33" s="9">
        <v>2E-3</v>
      </c>
      <c r="P33" s="9" t="str">
        <f t="shared" si="2"/>
        <v/>
      </c>
      <c r="Q33" s="9">
        <v>2E-3</v>
      </c>
      <c r="R33" s="9" t="str">
        <f t="shared" si="2"/>
        <v/>
      </c>
      <c r="S33" s="9">
        <v>1E-3</v>
      </c>
      <c r="T33" s="9" t="str">
        <f t="shared" si="2"/>
        <v/>
      </c>
      <c r="U33" s="9">
        <v>1E-3</v>
      </c>
      <c r="V33" s="9" t="str">
        <f t="shared" si="2"/>
        <v/>
      </c>
      <c r="W33" s="9"/>
      <c r="X33" s="9" t="str">
        <f t="shared" si="2"/>
        <v/>
      </c>
      <c r="Y33" s="9"/>
      <c r="Z33" s="9" t="str">
        <f t="shared" si="1"/>
        <v/>
      </c>
      <c r="AA33" s="9">
        <v>1E-3</v>
      </c>
      <c r="AB33" s="9" t="str">
        <f t="shared" si="1"/>
        <v/>
      </c>
      <c r="AC33" s="9">
        <v>1E-3</v>
      </c>
      <c r="AD33" s="9" t="str">
        <f t="shared" si="1"/>
        <v/>
      </c>
    </row>
    <row r="34" spans="1:30" x14ac:dyDescent="0.25">
      <c r="B34" s="9">
        <v>0.81599999999999995</v>
      </c>
      <c r="C34" s="9" t="str">
        <f t="shared" si="0"/>
        <v/>
      </c>
      <c r="D34" s="9"/>
      <c r="E34" s="9">
        <v>0.90100000000000002</v>
      </c>
      <c r="F34" s="9" t="str">
        <f t="shared" si="0"/>
        <v/>
      </c>
      <c r="G34" s="9"/>
      <c r="H34" s="9" t="str">
        <f t="shared" si="0"/>
        <v/>
      </c>
      <c r="I34" s="9"/>
      <c r="J34" s="9" t="str">
        <f t="shared" si="0"/>
        <v/>
      </c>
      <c r="K34" s="9">
        <v>0.623</v>
      </c>
      <c r="L34" s="9" t="str">
        <f t="shared" si="0"/>
        <v/>
      </c>
      <c r="M34" s="9">
        <v>0.52600000000000002</v>
      </c>
      <c r="N34" s="9" t="str">
        <f t="shared" si="2"/>
        <v/>
      </c>
      <c r="O34" s="9">
        <v>0.49099999999999999</v>
      </c>
      <c r="P34" s="9" t="str">
        <f t="shared" si="2"/>
        <v/>
      </c>
      <c r="Q34" s="9">
        <v>0.53500000000000003</v>
      </c>
      <c r="R34" s="9" t="str">
        <f t="shared" si="2"/>
        <v/>
      </c>
      <c r="S34" s="9">
        <v>0.78</v>
      </c>
      <c r="T34" s="9" t="str">
        <f t="shared" si="2"/>
        <v/>
      </c>
      <c r="U34" s="9">
        <v>0.86599999999999999</v>
      </c>
      <c r="V34" s="9" t="str">
        <f t="shared" si="2"/>
        <v/>
      </c>
      <c r="W34" s="9"/>
      <c r="X34" s="9" t="str">
        <f t="shared" si="2"/>
        <v/>
      </c>
      <c r="Y34" s="9"/>
      <c r="Z34" s="9" t="str">
        <f t="shared" si="1"/>
        <v/>
      </c>
      <c r="AA34" s="9">
        <v>0.66500000000000004</v>
      </c>
      <c r="AB34" s="9" t="str">
        <f t="shared" si="1"/>
        <v/>
      </c>
      <c r="AC34" s="9">
        <v>0.78700000000000003</v>
      </c>
      <c r="AD34" s="9" t="str">
        <f t="shared" si="1"/>
        <v/>
      </c>
    </row>
    <row r="35" spans="1:30" x14ac:dyDescent="0.25">
      <c r="A35" t="s">
        <v>40</v>
      </c>
      <c r="B35" s="9">
        <v>3.3999999999999998E-3</v>
      </c>
      <c r="C35" s="9" t="str">
        <f t="shared" si="0"/>
        <v/>
      </c>
      <c r="D35" s="9" t="str">
        <f>+CONCATENATE(ROUND(B35,3), " ",C35)</f>
        <v xml:space="preserve">0,003 </v>
      </c>
      <c r="E35" s="9">
        <v>3.0000000000000001E-3</v>
      </c>
      <c r="F35" s="9" t="str">
        <f t="shared" si="0"/>
        <v/>
      </c>
      <c r="G35" s="9">
        <v>2.8E-3</v>
      </c>
      <c r="H35" s="9" t="str">
        <f t="shared" si="0"/>
        <v/>
      </c>
      <c r="I35" s="9">
        <v>1.5E-3</v>
      </c>
      <c r="J35" s="9" t="str">
        <f t="shared" si="0"/>
        <v/>
      </c>
      <c r="K35" s="9">
        <v>-2.6599999999999999E-2</v>
      </c>
      <c r="L35" s="9" t="str">
        <f t="shared" si="0"/>
        <v>*</v>
      </c>
      <c r="M35" s="9">
        <v>-1.32E-2</v>
      </c>
      <c r="N35" s="9" t="str">
        <f t="shared" si="2"/>
        <v/>
      </c>
      <c r="O35" s="9">
        <v>-2.6700000000000002E-2</v>
      </c>
      <c r="P35" s="9" t="str">
        <f t="shared" si="2"/>
        <v>*</v>
      </c>
      <c r="Q35" s="9">
        <v>-1.7100000000000001E-2</v>
      </c>
      <c r="R35" s="9" t="str">
        <f t="shared" si="2"/>
        <v/>
      </c>
      <c r="S35" s="9">
        <v>-7.6730000000000006E-5</v>
      </c>
      <c r="T35" s="9" t="str">
        <f t="shared" si="2"/>
        <v/>
      </c>
      <c r="U35" s="9">
        <v>5.0000000000000001E-4</v>
      </c>
      <c r="V35" s="9" t="str">
        <f t="shared" si="2"/>
        <v/>
      </c>
      <c r="W35" s="9">
        <v>2.3E-3</v>
      </c>
      <c r="X35" s="9" t="str">
        <f t="shared" si="2"/>
        <v/>
      </c>
      <c r="Y35" s="9">
        <v>-2.9999999999999997E-4</v>
      </c>
      <c r="Z35" s="9" t="str">
        <f t="shared" si="1"/>
        <v/>
      </c>
      <c r="AA35" s="9">
        <v>-3.8999999999999998E-3</v>
      </c>
      <c r="AB35" s="9" t="str">
        <f t="shared" si="1"/>
        <v/>
      </c>
      <c r="AC35" s="9">
        <v>-1.1000000000000001E-3</v>
      </c>
      <c r="AD35" s="9" t="str">
        <f t="shared" si="1"/>
        <v/>
      </c>
    </row>
    <row r="36" spans="1:30" x14ac:dyDescent="0.25">
      <c r="B36" s="9">
        <v>1.0999999999999999E-2</v>
      </c>
      <c r="C36" s="9" t="str">
        <f t="shared" si="0"/>
        <v/>
      </c>
      <c r="D36" s="9" t="str">
        <f>+CONCATENATE("(",ROUND(B36,3),")")</f>
        <v>(0,011)</v>
      </c>
      <c r="E36" s="9">
        <v>1.0999999999999999E-2</v>
      </c>
      <c r="F36" s="9" t="str">
        <f t="shared" si="0"/>
        <v/>
      </c>
      <c r="G36" s="9">
        <v>1.0999999999999999E-2</v>
      </c>
      <c r="H36" s="9" t="str">
        <f t="shared" si="0"/>
        <v/>
      </c>
      <c r="I36" s="9">
        <v>1.0999999999999999E-2</v>
      </c>
      <c r="J36" s="9" t="str">
        <f t="shared" si="0"/>
        <v/>
      </c>
      <c r="K36" s="9">
        <v>1.6E-2</v>
      </c>
      <c r="L36" s="9" t="str">
        <f t="shared" si="0"/>
        <v/>
      </c>
      <c r="M36" s="9">
        <v>1.4999999999999999E-2</v>
      </c>
      <c r="N36" s="9" t="str">
        <f t="shared" si="2"/>
        <v/>
      </c>
      <c r="O36" s="9">
        <v>1.6E-2</v>
      </c>
      <c r="P36" s="9" t="str">
        <f t="shared" si="2"/>
        <v/>
      </c>
      <c r="Q36" s="9">
        <v>1.4999999999999999E-2</v>
      </c>
      <c r="R36" s="9" t="str">
        <f t="shared" si="2"/>
        <v/>
      </c>
      <c r="S36" s="9">
        <v>1.0999999999999999E-2</v>
      </c>
      <c r="T36" s="9" t="str">
        <f t="shared" si="2"/>
        <v/>
      </c>
      <c r="U36" s="9">
        <v>1.0999999999999999E-2</v>
      </c>
      <c r="V36" s="9" t="str">
        <f t="shared" si="2"/>
        <v/>
      </c>
      <c r="W36" s="9">
        <v>1.0999999999999999E-2</v>
      </c>
      <c r="X36" s="9" t="str">
        <f t="shared" si="2"/>
        <v/>
      </c>
      <c r="Y36" s="9">
        <v>1.0999999999999999E-2</v>
      </c>
      <c r="Z36" s="9" t="str">
        <f t="shared" si="1"/>
        <v/>
      </c>
      <c r="AA36" s="9">
        <v>1.0999999999999999E-2</v>
      </c>
      <c r="AB36" s="9" t="str">
        <f t="shared" si="1"/>
        <v/>
      </c>
      <c r="AC36" s="9">
        <v>1.0999999999999999E-2</v>
      </c>
      <c r="AD36" s="9" t="str">
        <f t="shared" si="1"/>
        <v/>
      </c>
    </row>
    <row r="37" spans="1:30" x14ac:dyDescent="0.25">
      <c r="B37" s="9">
        <v>0.76</v>
      </c>
      <c r="C37" s="9" t="str">
        <f t="shared" si="0"/>
        <v/>
      </c>
      <c r="D37" s="9"/>
      <c r="E37" s="9">
        <v>0.79700000000000004</v>
      </c>
      <c r="F37" s="9" t="str">
        <f t="shared" si="0"/>
        <v/>
      </c>
      <c r="G37" s="9">
        <v>0.79800000000000004</v>
      </c>
      <c r="H37" s="9" t="str">
        <f t="shared" si="0"/>
        <v/>
      </c>
      <c r="I37" s="9">
        <v>0.89600000000000002</v>
      </c>
      <c r="J37" s="9" t="str">
        <f t="shared" si="0"/>
        <v/>
      </c>
      <c r="K37" s="9">
        <v>0.09</v>
      </c>
      <c r="L37" s="9" t="str">
        <f t="shared" si="0"/>
        <v/>
      </c>
      <c r="M37" s="9">
        <v>0.38800000000000001</v>
      </c>
      <c r="N37" s="9" t="str">
        <f t="shared" si="2"/>
        <v/>
      </c>
      <c r="O37" s="9">
        <v>9.0999999999999998E-2</v>
      </c>
      <c r="P37" s="9" t="str">
        <f t="shared" si="2"/>
        <v/>
      </c>
      <c r="Q37" s="9">
        <v>0.27100000000000002</v>
      </c>
      <c r="R37" s="9" t="str">
        <f t="shared" si="2"/>
        <v/>
      </c>
      <c r="S37" s="9">
        <v>0.99399999999999999</v>
      </c>
      <c r="T37" s="9" t="str">
        <f t="shared" si="2"/>
        <v/>
      </c>
      <c r="U37" s="9">
        <v>0.96399999999999997</v>
      </c>
      <c r="V37" s="9" t="str">
        <f t="shared" si="2"/>
        <v/>
      </c>
      <c r="W37" s="9">
        <v>0.83399999999999996</v>
      </c>
      <c r="X37" s="9" t="str">
        <f t="shared" si="2"/>
        <v/>
      </c>
      <c r="Y37" s="9">
        <v>0.97899999999999998</v>
      </c>
      <c r="Z37" s="9" t="str">
        <f t="shared" si="1"/>
        <v/>
      </c>
      <c r="AA37" s="9">
        <v>0.71299999999999997</v>
      </c>
      <c r="AB37" s="9" t="str">
        <f t="shared" si="1"/>
        <v/>
      </c>
      <c r="AC37" s="9">
        <v>0.92500000000000004</v>
      </c>
      <c r="AD37" s="9" t="str">
        <f t="shared" si="1"/>
        <v/>
      </c>
    </row>
    <row r="38" spans="1:30" x14ac:dyDescent="0.25">
      <c r="A38" t="s">
        <v>41</v>
      </c>
      <c r="B38" s="9">
        <v>1.9800000000000002E-2</v>
      </c>
      <c r="C38" s="9" t="str">
        <f t="shared" si="0"/>
        <v/>
      </c>
      <c r="D38" s="9" t="str">
        <f>+CONCATENATE(ROUND(B38,3), " ",C38)</f>
        <v xml:space="preserve">0,02 </v>
      </c>
      <c r="E38" s="9">
        <v>1.8100000000000002E-2</v>
      </c>
      <c r="F38" s="9" t="str">
        <f t="shared" si="0"/>
        <v/>
      </c>
      <c r="G38" s="9"/>
      <c r="H38" s="9" t="str">
        <f t="shared" si="0"/>
        <v>***</v>
      </c>
      <c r="I38" s="9"/>
      <c r="J38" s="9" t="str">
        <f t="shared" si="0"/>
        <v>***</v>
      </c>
      <c r="K38" s="9"/>
      <c r="L38" s="9" t="str">
        <f t="shared" si="0"/>
        <v>***</v>
      </c>
      <c r="M38" s="9"/>
      <c r="N38" s="9" t="str">
        <f t="shared" si="2"/>
        <v>***</v>
      </c>
      <c r="O38" s="9">
        <v>1.9800000000000002E-2</v>
      </c>
      <c r="P38" s="9" t="str">
        <f t="shared" si="2"/>
        <v/>
      </c>
      <c r="Q38" s="9">
        <v>4.7399999999999998E-2</v>
      </c>
      <c r="R38" s="9" t="str">
        <f t="shared" si="2"/>
        <v/>
      </c>
      <c r="S38" s="9">
        <v>2.5100000000000001E-2</v>
      </c>
      <c r="T38" s="9" t="str">
        <f t="shared" si="2"/>
        <v/>
      </c>
      <c r="U38" s="9">
        <v>2.3599999999999999E-2</v>
      </c>
      <c r="V38" s="9" t="str">
        <f t="shared" si="2"/>
        <v/>
      </c>
      <c r="W38" s="9">
        <v>3.04E-2</v>
      </c>
      <c r="X38" s="9" t="str">
        <f t="shared" si="2"/>
        <v/>
      </c>
      <c r="Y38" s="9">
        <v>0.03</v>
      </c>
      <c r="Z38" s="9" t="str">
        <f t="shared" si="1"/>
        <v/>
      </c>
      <c r="AA38" s="9"/>
      <c r="AB38" s="9" t="str">
        <f t="shared" si="1"/>
        <v>***</v>
      </c>
      <c r="AC38" s="9"/>
      <c r="AD38" s="9" t="str">
        <f t="shared" si="1"/>
        <v>***</v>
      </c>
    </row>
    <row r="39" spans="1:30" x14ac:dyDescent="0.25">
      <c r="B39" s="9">
        <v>3.5000000000000003E-2</v>
      </c>
      <c r="C39" s="9" t="str">
        <f t="shared" si="0"/>
        <v/>
      </c>
      <c r="D39" s="9" t="str">
        <f>+CONCATENATE("(",ROUND(B39,3),")")</f>
        <v>(0,035)</v>
      </c>
      <c r="E39" s="9">
        <v>3.5999999999999997E-2</v>
      </c>
      <c r="F39" s="9" t="str">
        <f t="shared" si="0"/>
        <v/>
      </c>
      <c r="G39" s="9"/>
      <c r="H39" s="9" t="str">
        <f t="shared" si="0"/>
        <v/>
      </c>
      <c r="I39" s="9"/>
      <c r="J39" s="9" t="str">
        <f t="shared" si="0"/>
        <v/>
      </c>
      <c r="K39" s="9"/>
      <c r="L39" s="9" t="str">
        <f t="shared" si="0"/>
        <v/>
      </c>
      <c r="M39" s="9"/>
      <c r="N39" s="9" t="str">
        <f t="shared" si="2"/>
        <v/>
      </c>
      <c r="O39" s="9">
        <v>0.05</v>
      </c>
      <c r="P39" s="9" t="str">
        <f t="shared" si="2"/>
        <v/>
      </c>
      <c r="Q39" s="9">
        <v>4.9000000000000002E-2</v>
      </c>
      <c r="R39" s="9" t="str">
        <f t="shared" si="2"/>
        <v/>
      </c>
      <c r="S39" s="9">
        <v>3.4000000000000002E-2</v>
      </c>
      <c r="T39" s="9" t="str">
        <f t="shared" si="2"/>
        <v/>
      </c>
      <c r="U39" s="9">
        <v>3.5000000000000003E-2</v>
      </c>
      <c r="V39" s="9" t="str">
        <f t="shared" si="2"/>
        <v/>
      </c>
      <c r="W39" s="9">
        <v>3.4000000000000002E-2</v>
      </c>
      <c r="X39" s="9" t="str">
        <f t="shared" si="2"/>
        <v/>
      </c>
      <c r="Y39" s="9">
        <v>3.5999999999999997E-2</v>
      </c>
      <c r="Z39" s="9" t="str">
        <f t="shared" si="1"/>
        <v/>
      </c>
      <c r="AA39" s="9"/>
      <c r="AB39" s="9" t="str">
        <f t="shared" si="1"/>
        <v/>
      </c>
      <c r="AC39" s="9"/>
      <c r="AD39" s="9" t="str">
        <f t="shared" si="1"/>
        <v/>
      </c>
    </row>
    <row r="40" spans="1:30" x14ac:dyDescent="0.25">
      <c r="B40" s="9">
        <v>0.57499999999999996</v>
      </c>
      <c r="C40" s="9" t="str">
        <f t="shared" si="0"/>
        <v/>
      </c>
      <c r="D40" s="9"/>
      <c r="E40" s="9">
        <v>0.61899999999999999</v>
      </c>
      <c r="F40" s="9" t="str">
        <f t="shared" si="0"/>
        <v/>
      </c>
      <c r="G40" s="9"/>
      <c r="H40" s="9" t="str">
        <f t="shared" si="0"/>
        <v/>
      </c>
      <c r="I40" s="9"/>
      <c r="J40" s="9" t="str">
        <f t="shared" si="0"/>
        <v/>
      </c>
      <c r="K40" s="9"/>
      <c r="L40" s="9" t="str">
        <f t="shared" si="0"/>
        <v/>
      </c>
      <c r="M40" s="9"/>
      <c r="N40" s="9" t="str">
        <f t="shared" si="2"/>
        <v/>
      </c>
      <c r="O40" s="9">
        <v>0.69</v>
      </c>
      <c r="P40" s="9" t="str">
        <f t="shared" si="2"/>
        <v/>
      </c>
      <c r="Q40" s="9">
        <v>0.33200000000000002</v>
      </c>
      <c r="R40" s="9" t="str">
        <f t="shared" si="2"/>
        <v/>
      </c>
      <c r="S40" s="9">
        <v>0.46</v>
      </c>
      <c r="T40" s="9" t="str">
        <f t="shared" si="2"/>
        <v/>
      </c>
      <c r="U40" s="9">
        <v>0.50600000000000001</v>
      </c>
      <c r="V40" s="9" t="str">
        <f t="shared" si="2"/>
        <v/>
      </c>
      <c r="W40" s="9">
        <v>0.377</v>
      </c>
      <c r="X40" s="9" t="str">
        <f t="shared" si="2"/>
        <v/>
      </c>
      <c r="Y40" s="9">
        <v>0.40100000000000002</v>
      </c>
      <c r="Z40" s="9" t="str">
        <f t="shared" si="1"/>
        <v/>
      </c>
      <c r="AA40" s="9"/>
      <c r="AB40" s="9" t="str">
        <f t="shared" si="1"/>
        <v/>
      </c>
      <c r="AC40" s="9"/>
      <c r="AD40" s="9" t="str">
        <f t="shared" si="1"/>
        <v/>
      </c>
    </row>
    <row r="41" spans="1:30" x14ac:dyDescent="0.25">
      <c r="A41" t="s">
        <v>42</v>
      </c>
      <c r="B41" s="9">
        <v>-1.0894999999999999</v>
      </c>
      <c r="C41" s="9" t="str">
        <f t="shared" si="0"/>
        <v/>
      </c>
      <c r="D41" s="9" t="str">
        <f>+CONCATENATE(ROUND(B41,3), " ",C41)</f>
        <v xml:space="preserve">-1,09 </v>
      </c>
      <c r="E41" s="9">
        <v>-0.67269999999999996</v>
      </c>
      <c r="F41" s="9" t="str">
        <f t="shared" si="0"/>
        <v/>
      </c>
      <c r="G41" s="9"/>
      <c r="H41" s="9" t="str">
        <f t="shared" si="0"/>
        <v>***</v>
      </c>
      <c r="I41" s="9"/>
      <c r="J41" s="9" t="str">
        <f t="shared" si="0"/>
        <v>***</v>
      </c>
      <c r="K41" s="9"/>
      <c r="L41" s="9" t="str">
        <f t="shared" si="0"/>
        <v>***</v>
      </c>
      <c r="M41" s="9"/>
      <c r="N41" s="9" t="str">
        <f t="shared" si="2"/>
        <v>***</v>
      </c>
      <c r="O41" s="9"/>
      <c r="P41" s="9" t="str">
        <f t="shared" si="2"/>
        <v>***</v>
      </c>
      <c r="Q41" s="9"/>
      <c r="R41" s="9" t="str">
        <f t="shared" si="2"/>
        <v>***</v>
      </c>
      <c r="S41" s="9"/>
      <c r="T41" s="9" t="str">
        <f t="shared" si="2"/>
        <v>***</v>
      </c>
      <c r="U41" s="9"/>
      <c r="V41" s="9" t="str">
        <f t="shared" si="2"/>
        <v>***</v>
      </c>
      <c r="W41" s="9"/>
      <c r="X41" s="9" t="str">
        <f t="shared" si="2"/>
        <v>***</v>
      </c>
      <c r="Y41" s="9"/>
      <c r="Z41" s="9" t="str">
        <f t="shared" si="1"/>
        <v>***</v>
      </c>
      <c r="AA41" s="9"/>
      <c r="AB41" s="9" t="str">
        <f t="shared" si="1"/>
        <v>***</v>
      </c>
      <c r="AC41" s="9"/>
      <c r="AD41" s="9" t="str">
        <f t="shared" si="1"/>
        <v>***</v>
      </c>
    </row>
    <row r="42" spans="1:30" x14ac:dyDescent="0.25">
      <c r="B42" s="9">
        <v>1.034</v>
      </c>
      <c r="C42" s="9" t="str">
        <f t="shared" si="0"/>
        <v/>
      </c>
      <c r="D42" s="9" t="str">
        <f>+CONCATENATE("(",ROUND(B42,3),")")</f>
        <v>(1,034)</v>
      </c>
      <c r="E42" s="9">
        <v>1.08</v>
      </c>
      <c r="F42" s="9" t="str">
        <f t="shared" si="0"/>
        <v/>
      </c>
      <c r="G42" s="9"/>
      <c r="H42" s="9" t="str">
        <f t="shared" si="0"/>
        <v/>
      </c>
      <c r="I42" s="9"/>
      <c r="J42" s="9" t="str">
        <f t="shared" si="0"/>
        <v/>
      </c>
      <c r="K42" s="9"/>
      <c r="L42" s="9" t="str">
        <f t="shared" si="0"/>
        <v/>
      </c>
      <c r="M42" s="9"/>
      <c r="N42" s="9" t="str">
        <f t="shared" si="2"/>
        <v/>
      </c>
      <c r="O42" s="9"/>
      <c r="P42" s="9" t="str">
        <f t="shared" si="2"/>
        <v/>
      </c>
      <c r="Q42" s="9"/>
      <c r="R42" s="9" t="str">
        <f t="shared" si="2"/>
        <v/>
      </c>
      <c r="S42" s="9"/>
      <c r="T42" s="9" t="str">
        <f t="shared" si="2"/>
        <v/>
      </c>
      <c r="U42" s="9"/>
      <c r="V42" s="9" t="str">
        <f t="shared" si="2"/>
        <v/>
      </c>
      <c r="W42" s="9"/>
      <c r="X42" s="9" t="str">
        <f t="shared" si="2"/>
        <v/>
      </c>
      <c r="Y42" s="9"/>
      <c r="Z42" s="9" t="str">
        <f t="shared" si="1"/>
        <v/>
      </c>
      <c r="AA42" s="9"/>
      <c r="AB42" s="9" t="str">
        <f t="shared" si="1"/>
        <v/>
      </c>
      <c r="AC42" s="9"/>
      <c r="AD42" s="9" t="str">
        <f t="shared" si="1"/>
        <v/>
      </c>
    </row>
    <row r="43" spans="1:30" x14ac:dyDescent="0.25">
      <c r="B43" s="9">
        <v>0.29199999999999998</v>
      </c>
      <c r="C43" s="9" t="str">
        <f t="shared" si="0"/>
        <v/>
      </c>
      <c r="D43" s="9"/>
      <c r="E43" s="9">
        <v>0.53400000000000003</v>
      </c>
      <c r="F43" s="9" t="str">
        <f t="shared" si="0"/>
        <v/>
      </c>
      <c r="G43" s="9"/>
      <c r="H43" s="9" t="str">
        <f t="shared" si="0"/>
        <v/>
      </c>
      <c r="I43" s="9"/>
      <c r="J43" s="9" t="str">
        <f t="shared" si="0"/>
        <v/>
      </c>
      <c r="K43" s="9"/>
      <c r="L43" s="9" t="str">
        <f t="shared" si="0"/>
        <v/>
      </c>
      <c r="M43" s="9"/>
      <c r="N43" s="9" t="str">
        <f t="shared" si="2"/>
        <v/>
      </c>
      <c r="O43" s="9"/>
      <c r="P43" s="9" t="str">
        <f t="shared" si="2"/>
        <v/>
      </c>
      <c r="Q43" s="9"/>
      <c r="R43" s="9" t="str">
        <f t="shared" si="2"/>
        <v/>
      </c>
      <c r="S43" s="9"/>
      <c r="T43" s="9" t="str">
        <f t="shared" si="2"/>
        <v/>
      </c>
      <c r="U43" s="9"/>
      <c r="V43" s="9" t="str">
        <f t="shared" si="2"/>
        <v/>
      </c>
      <c r="W43" s="9"/>
      <c r="X43" s="9" t="str">
        <f t="shared" si="2"/>
        <v/>
      </c>
      <c r="Y43" s="9"/>
      <c r="Z43" s="9" t="str">
        <f t="shared" si="1"/>
        <v/>
      </c>
      <c r="AA43" s="9"/>
      <c r="AB43" s="9" t="str">
        <f t="shared" si="1"/>
        <v/>
      </c>
      <c r="AC43" s="9"/>
      <c r="AD43" s="9" t="str">
        <f t="shared" si="1"/>
        <v/>
      </c>
    </row>
    <row r="44" spans="1:30" x14ac:dyDescent="0.25">
      <c r="A44" t="s">
        <v>43</v>
      </c>
      <c r="B44" s="9">
        <v>1.0608</v>
      </c>
      <c r="C44" s="9" t="str">
        <f t="shared" si="0"/>
        <v/>
      </c>
      <c r="D44" s="9" t="str">
        <f>+CONCATENATE(ROUND(B44,3), " ",C44)</f>
        <v xml:space="preserve">1,061 </v>
      </c>
      <c r="E44" s="9">
        <v>0.60340000000000005</v>
      </c>
      <c r="F44" s="9" t="str">
        <f t="shared" si="0"/>
        <v/>
      </c>
      <c r="G44" s="9">
        <v>-0.21560000000000001</v>
      </c>
      <c r="H44" s="9" t="str">
        <f t="shared" si="0"/>
        <v>**</v>
      </c>
      <c r="I44" s="9">
        <v>-0.25340000000000001</v>
      </c>
      <c r="J44" s="9" t="str">
        <f t="shared" si="0"/>
        <v>**</v>
      </c>
      <c r="K44" s="9">
        <v>1.09E-2</v>
      </c>
      <c r="L44" s="9" t="str">
        <f t="shared" si="0"/>
        <v/>
      </c>
      <c r="M44" s="9">
        <v>0.1031</v>
      </c>
      <c r="N44" s="9" t="str">
        <f t="shared" si="2"/>
        <v/>
      </c>
      <c r="O44" s="9"/>
      <c r="P44" s="9" t="str">
        <f t="shared" si="2"/>
        <v>***</v>
      </c>
      <c r="Q44" s="9"/>
      <c r="R44" s="9" t="str">
        <f t="shared" si="2"/>
        <v>***</v>
      </c>
      <c r="S44" s="9"/>
      <c r="T44" s="9" t="str">
        <f t="shared" si="2"/>
        <v>***</v>
      </c>
      <c r="U44" s="9"/>
      <c r="V44" s="9" t="str">
        <f t="shared" si="2"/>
        <v>***</v>
      </c>
      <c r="W44" s="9"/>
      <c r="X44" s="9" t="str">
        <f t="shared" ref="X44:AD58" si="3">+IF($A44&lt;&gt;"",IF(W46&lt;0.01,"***",IF(W46&lt;0.05,"**",IF(W46&lt;0.1,"*",""))),"")</f>
        <v>***</v>
      </c>
      <c r="Y44" s="9"/>
      <c r="Z44" s="9" t="str">
        <f t="shared" si="3"/>
        <v>***</v>
      </c>
      <c r="AA44" s="9"/>
      <c r="AB44" s="9" t="str">
        <f t="shared" si="3"/>
        <v>***</v>
      </c>
      <c r="AC44" s="9"/>
      <c r="AD44" s="9" t="str">
        <f t="shared" si="3"/>
        <v>***</v>
      </c>
    </row>
    <row r="45" spans="1:30" x14ac:dyDescent="0.25">
      <c r="B45" s="9">
        <v>1.107</v>
      </c>
      <c r="C45" s="9" t="str">
        <f t="shared" si="0"/>
        <v/>
      </c>
      <c r="D45" s="9" t="str">
        <f>+CONCATENATE("(",ROUND(B45,3),")")</f>
        <v>(1,107)</v>
      </c>
      <c r="E45" s="9">
        <v>1.161</v>
      </c>
      <c r="F45" s="9" t="str">
        <f t="shared" si="0"/>
        <v/>
      </c>
      <c r="G45" s="9">
        <v>9.0999999999999998E-2</v>
      </c>
      <c r="H45" s="9" t="str">
        <f t="shared" si="0"/>
        <v/>
      </c>
      <c r="I45" s="9">
        <v>0.114</v>
      </c>
      <c r="J45" s="9" t="str">
        <f t="shared" si="0"/>
        <v/>
      </c>
      <c r="K45" s="9">
        <v>0.121</v>
      </c>
      <c r="L45" s="9" t="str">
        <f t="shared" si="0"/>
        <v/>
      </c>
      <c r="M45" s="9">
        <v>0.14899999999999999</v>
      </c>
      <c r="N45" s="9" t="str">
        <f t="shared" si="2"/>
        <v/>
      </c>
      <c r="O45" s="9"/>
      <c r="P45" s="9" t="str">
        <f t="shared" si="2"/>
        <v/>
      </c>
      <c r="Q45" s="9"/>
      <c r="R45" s="9" t="str">
        <f t="shared" si="2"/>
        <v/>
      </c>
      <c r="S45" s="9"/>
      <c r="T45" s="9" t="str">
        <f t="shared" si="2"/>
        <v/>
      </c>
      <c r="U45" s="9"/>
      <c r="V45" s="9" t="str">
        <f t="shared" si="2"/>
        <v/>
      </c>
      <c r="W45" s="9"/>
      <c r="X45" s="9" t="str">
        <f t="shared" si="3"/>
        <v/>
      </c>
      <c r="Y45" s="9"/>
      <c r="Z45" s="9" t="str">
        <f t="shared" si="3"/>
        <v/>
      </c>
      <c r="AA45" s="9"/>
      <c r="AB45" s="9" t="str">
        <f t="shared" si="3"/>
        <v/>
      </c>
      <c r="AC45" s="9"/>
      <c r="AD45" s="9" t="str">
        <f t="shared" si="3"/>
        <v/>
      </c>
    </row>
    <row r="46" spans="1:30" x14ac:dyDescent="0.25">
      <c r="B46" s="9">
        <v>0.33900000000000002</v>
      </c>
      <c r="C46" s="9" t="str">
        <f t="shared" si="0"/>
        <v/>
      </c>
      <c r="D46" s="9"/>
      <c r="E46" s="9">
        <v>0.60299999999999998</v>
      </c>
      <c r="F46" s="9" t="str">
        <f t="shared" si="0"/>
        <v/>
      </c>
      <c r="G46" s="9">
        <v>1.9E-2</v>
      </c>
      <c r="H46" s="9" t="str">
        <f t="shared" si="0"/>
        <v/>
      </c>
      <c r="I46" s="9">
        <v>2.7E-2</v>
      </c>
      <c r="J46" s="9" t="str">
        <f t="shared" si="0"/>
        <v/>
      </c>
      <c r="K46" s="9">
        <v>0.92900000000000005</v>
      </c>
      <c r="L46" s="9" t="str">
        <f t="shared" si="0"/>
        <v/>
      </c>
      <c r="M46" s="9">
        <v>0.48899999999999999</v>
      </c>
      <c r="N46" s="9" t="str">
        <f t="shared" si="2"/>
        <v/>
      </c>
      <c r="O46" s="9"/>
      <c r="P46" s="9" t="str">
        <f t="shared" si="2"/>
        <v/>
      </c>
      <c r="Q46" s="9"/>
      <c r="R46" s="9" t="str">
        <f t="shared" si="2"/>
        <v/>
      </c>
      <c r="S46" s="9"/>
      <c r="T46" s="9" t="str">
        <f t="shared" si="2"/>
        <v/>
      </c>
      <c r="U46" s="9"/>
      <c r="V46" s="9" t="str">
        <f t="shared" si="2"/>
        <v/>
      </c>
      <c r="W46" s="9"/>
      <c r="X46" s="9" t="str">
        <f t="shared" si="3"/>
        <v/>
      </c>
      <c r="Y46" s="9"/>
      <c r="Z46" s="9" t="str">
        <f t="shared" si="3"/>
        <v/>
      </c>
      <c r="AA46" s="9"/>
      <c r="AB46" s="9" t="str">
        <f t="shared" si="3"/>
        <v/>
      </c>
      <c r="AC46" s="9"/>
      <c r="AD46" s="9" t="str">
        <f t="shared" si="3"/>
        <v/>
      </c>
    </row>
    <row r="47" spans="1:30" x14ac:dyDescent="0.25">
      <c r="A47" t="s">
        <v>44</v>
      </c>
      <c r="B47" s="9">
        <v>1.4930000000000001</v>
      </c>
      <c r="C47" s="9" t="str">
        <f t="shared" si="0"/>
        <v/>
      </c>
      <c r="D47" s="9" t="str">
        <f>+CONCATENATE(ROUND(B47,3), " ",C47)</f>
        <v xml:space="preserve">1,493 </v>
      </c>
      <c r="E47" s="9">
        <v>2.2134999999999998</v>
      </c>
      <c r="F47" s="9" t="str">
        <f t="shared" si="0"/>
        <v/>
      </c>
      <c r="G47" s="9">
        <v>1.3298000000000001</v>
      </c>
      <c r="H47" s="9" t="str">
        <f t="shared" si="0"/>
        <v/>
      </c>
      <c r="I47" s="9">
        <v>2.0908000000000002</v>
      </c>
      <c r="J47" s="9" t="str">
        <f t="shared" si="0"/>
        <v/>
      </c>
      <c r="K47" s="9"/>
      <c r="L47" s="9" t="str">
        <f t="shared" si="0"/>
        <v>***</v>
      </c>
      <c r="M47" s="9"/>
      <c r="N47" s="9" t="str">
        <f t="shared" si="2"/>
        <v>***</v>
      </c>
      <c r="O47" s="9">
        <v>-1.0491999999999999</v>
      </c>
      <c r="P47" s="9" t="str">
        <f t="shared" si="2"/>
        <v/>
      </c>
      <c r="Q47" s="9">
        <v>-0.64329999999999998</v>
      </c>
      <c r="R47" s="9" t="str">
        <f t="shared" si="2"/>
        <v/>
      </c>
      <c r="S47" s="9">
        <v>1.3402000000000001</v>
      </c>
      <c r="T47" s="9" t="str">
        <f t="shared" si="2"/>
        <v/>
      </c>
      <c r="U47" s="9">
        <v>2.2856000000000001</v>
      </c>
      <c r="V47" s="9" t="str">
        <f t="shared" si="2"/>
        <v/>
      </c>
      <c r="W47" s="9"/>
      <c r="X47" s="9" t="str">
        <f t="shared" si="3"/>
        <v>***</v>
      </c>
      <c r="Y47" s="9"/>
      <c r="Z47" s="9" t="str">
        <f t="shared" si="3"/>
        <v>***</v>
      </c>
      <c r="AA47" s="9">
        <v>0.7681</v>
      </c>
      <c r="AB47" s="9" t="str">
        <f t="shared" si="3"/>
        <v/>
      </c>
      <c r="AC47" s="9">
        <v>1.6035999999999999</v>
      </c>
      <c r="AD47" s="9" t="str">
        <f t="shared" si="3"/>
        <v/>
      </c>
    </row>
    <row r="48" spans="1:30" x14ac:dyDescent="0.25">
      <c r="B48" s="9">
        <v>1.399</v>
      </c>
      <c r="C48" s="9" t="str">
        <f t="shared" si="0"/>
        <v/>
      </c>
      <c r="D48" s="9" t="str">
        <f>+CONCATENATE("(",ROUND(B48,3),")")</f>
        <v>(1,399)</v>
      </c>
      <c r="E48" s="9">
        <v>1.548</v>
      </c>
      <c r="F48" s="9" t="str">
        <f t="shared" si="0"/>
        <v/>
      </c>
      <c r="G48" s="9">
        <v>1.383</v>
      </c>
      <c r="H48" s="9" t="str">
        <f t="shared" si="0"/>
        <v/>
      </c>
      <c r="I48" s="9">
        <v>1.5229999999999999</v>
      </c>
      <c r="J48" s="9" t="str">
        <f t="shared" si="0"/>
        <v/>
      </c>
      <c r="K48" s="9"/>
      <c r="L48" s="9" t="str">
        <f t="shared" si="0"/>
        <v/>
      </c>
      <c r="M48" s="9"/>
      <c r="N48" s="9" t="str">
        <f t="shared" si="2"/>
        <v/>
      </c>
      <c r="O48" s="9">
        <v>1.982</v>
      </c>
      <c r="P48" s="9" t="str">
        <f t="shared" si="2"/>
        <v/>
      </c>
      <c r="Q48" s="9">
        <v>2.0990000000000002</v>
      </c>
      <c r="R48" s="9" t="str">
        <f t="shared" si="2"/>
        <v/>
      </c>
      <c r="S48" s="9">
        <v>1.373</v>
      </c>
      <c r="T48" s="9" t="str">
        <f t="shared" si="2"/>
        <v/>
      </c>
      <c r="U48" s="9">
        <v>1.5289999999999999</v>
      </c>
      <c r="V48" s="9" t="str">
        <f t="shared" si="2"/>
        <v/>
      </c>
      <c r="W48" s="9"/>
      <c r="X48" s="9" t="str">
        <f t="shared" si="3"/>
        <v/>
      </c>
      <c r="Y48" s="9"/>
      <c r="Z48" s="9" t="str">
        <f t="shared" si="3"/>
        <v/>
      </c>
      <c r="AA48" s="9">
        <v>1.347</v>
      </c>
      <c r="AB48" s="9" t="str">
        <f t="shared" si="3"/>
        <v/>
      </c>
      <c r="AC48" s="9">
        <v>1.494</v>
      </c>
      <c r="AD48" s="9" t="str">
        <f t="shared" si="3"/>
        <v/>
      </c>
    </row>
    <row r="49" spans="1:30" x14ac:dyDescent="0.25">
      <c r="B49" s="9">
        <v>0.28599999999999998</v>
      </c>
      <c r="C49" s="9" t="str">
        <f t="shared" si="0"/>
        <v/>
      </c>
      <c r="D49" s="9"/>
      <c r="E49" s="9">
        <v>0.153</v>
      </c>
      <c r="F49" s="9" t="str">
        <f t="shared" si="0"/>
        <v/>
      </c>
      <c r="G49" s="9">
        <v>0.33700000000000002</v>
      </c>
      <c r="H49" s="9" t="str">
        <f t="shared" si="0"/>
        <v/>
      </c>
      <c r="I49" s="9">
        <v>0.17100000000000001</v>
      </c>
      <c r="J49" s="9" t="str">
        <f t="shared" si="0"/>
        <v/>
      </c>
      <c r="K49" s="9"/>
      <c r="L49" s="9" t="str">
        <f t="shared" si="0"/>
        <v/>
      </c>
      <c r="M49" s="9"/>
      <c r="N49" s="9" t="str">
        <f t="shared" si="2"/>
        <v/>
      </c>
      <c r="O49" s="9">
        <v>0.59699999999999998</v>
      </c>
      <c r="P49" s="9" t="str">
        <f t="shared" si="2"/>
        <v/>
      </c>
      <c r="Q49" s="9">
        <v>0.75900000000000001</v>
      </c>
      <c r="R49" s="9" t="str">
        <f t="shared" si="2"/>
        <v/>
      </c>
      <c r="S49" s="9">
        <v>0.33</v>
      </c>
      <c r="T49" s="9" t="str">
        <f t="shared" si="2"/>
        <v/>
      </c>
      <c r="U49" s="9">
        <v>0.13600000000000001</v>
      </c>
      <c r="V49" s="9" t="str">
        <f t="shared" si="2"/>
        <v/>
      </c>
      <c r="W49" s="9"/>
      <c r="X49" s="9" t="str">
        <f t="shared" si="3"/>
        <v/>
      </c>
      <c r="Y49" s="9"/>
      <c r="Z49" s="9" t="str">
        <f t="shared" si="3"/>
        <v/>
      </c>
      <c r="AA49" s="9">
        <v>0.56899999999999995</v>
      </c>
      <c r="AB49" s="9" t="str">
        <f t="shared" si="3"/>
        <v/>
      </c>
      <c r="AC49" s="9">
        <v>0.28399999999999997</v>
      </c>
      <c r="AD49" s="9" t="str">
        <f t="shared" si="3"/>
        <v/>
      </c>
    </row>
    <row r="50" spans="1:30" x14ac:dyDescent="0.25">
      <c r="A50" t="s">
        <v>45</v>
      </c>
      <c r="B50" s="9">
        <v>17.632999999999999</v>
      </c>
      <c r="C50" s="9" t="str">
        <f t="shared" si="0"/>
        <v>***</v>
      </c>
      <c r="D50" s="9" t="str">
        <f>+CONCATENATE(ROUND(B50,3), " ",C50)</f>
        <v>17,633 ***</v>
      </c>
      <c r="E50" s="9">
        <v>17.1859</v>
      </c>
      <c r="F50" s="9" t="str">
        <f t="shared" si="0"/>
        <v>***</v>
      </c>
      <c r="G50" s="9">
        <v>17.536799999999999</v>
      </c>
      <c r="H50" s="9" t="str">
        <f t="shared" si="0"/>
        <v>***</v>
      </c>
      <c r="I50" s="9">
        <v>16.914400000000001</v>
      </c>
      <c r="J50" s="9" t="str">
        <f t="shared" si="0"/>
        <v>***</v>
      </c>
      <c r="K50" s="9"/>
      <c r="L50" s="9" t="str">
        <f t="shared" si="0"/>
        <v>***</v>
      </c>
      <c r="M50" s="9"/>
      <c r="N50" s="9" t="str">
        <f t="shared" si="2"/>
        <v>***</v>
      </c>
      <c r="O50" s="9"/>
      <c r="P50" s="9" t="str">
        <f t="shared" si="2"/>
        <v>***</v>
      </c>
      <c r="Q50" s="9"/>
      <c r="R50" s="9" t="str">
        <f t="shared" si="2"/>
        <v>***</v>
      </c>
      <c r="S50" s="9">
        <v>17.392800000000001</v>
      </c>
      <c r="T50" s="9" t="str">
        <f t="shared" si="2"/>
        <v>***</v>
      </c>
      <c r="U50" s="9">
        <v>16.917400000000001</v>
      </c>
      <c r="V50" s="9" t="str">
        <f t="shared" si="2"/>
        <v>***</v>
      </c>
      <c r="W50" s="9">
        <v>17.146699999999999</v>
      </c>
      <c r="X50" s="9" t="str">
        <f t="shared" si="3"/>
        <v>***</v>
      </c>
      <c r="Y50" s="9">
        <v>16.644500000000001</v>
      </c>
      <c r="Z50" s="9" t="str">
        <f t="shared" si="3"/>
        <v>***</v>
      </c>
      <c r="AA50" s="9">
        <v>17.335999999999999</v>
      </c>
      <c r="AB50" s="9" t="str">
        <f t="shared" si="3"/>
        <v>***</v>
      </c>
      <c r="AC50" s="9">
        <v>16.7468</v>
      </c>
      <c r="AD50" s="9" t="str">
        <f t="shared" si="3"/>
        <v>***</v>
      </c>
    </row>
    <row r="51" spans="1:30" x14ac:dyDescent="0.25">
      <c r="B51" s="9">
        <v>0.86099999999999999</v>
      </c>
      <c r="C51" s="9" t="str">
        <f t="shared" si="0"/>
        <v/>
      </c>
      <c r="D51" s="9" t="str">
        <f>+CONCATENATE("(",ROUND(B51,3),")")</f>
        <v>(0,861)</v>
      </c>
      <c r="E51" s="9">
        <v>0.92600000000000005</v>
      </c>
      <c r="F51" s="9" t="str">
        <f t="shared" si="0"/>
        <v/>
      </c>
      <c r="G51" s="9">
        <v>0.83199999999999996</v>
      </c>
      <c r="H51" s="9" t="str">
        <f t="shared" si="0"/>
        <v/>
      </c>
      <c r="I51" s="9">
        <v>0.91200000000000003</v>
      </c>
      <c r="J51" s="9" t="str">
        <f t="shared" si="0"/>
        <v/>
      </c>
      <c r="K51" s="9"/>
      <c r="L51" s="9" t="str">
        <f t="shared" si="0"/>
        <v/>
      </c>
      <c r="M51" s="9"/>
      <c r="N51" s="9" t="str">
        <f t="shared" si="2"/>
        <v/>
      </c>
      <c r="O51" s="9"/>
      <c r="P51" s="9" t="str">
        <f t="shared" si="2"/>
        <v/>
      </c>
      <c r="Q51" s="9"/>
      <c r="R51" s="9" t="str">
        <f t="shared" si="2"/>
        <v/>
      </c>
      <c r="S51" s="9">
        <v>0.81699999999999995</v>
      </c>
      <c r="T51" s="9" t="str">
        <f t="shared" si="2"/>
        <v/>
      </c>
      <c r="U51" s="9">
        <v>0.90400000000000003</v>
      </c>
      <c r="V51" s="9" t="str">
        <f t="shared" si="2"/>
        <v/>
      </c>
      <c r="W51" s="9">
        <v>0.81699999999999995</v>
      </c>
      <c r="X51" s="9" t="str">
        <f t="shared" si="3"/>
        <v/>
      </c>
      <c r="Y51" s="9">
        <v>0.90600000000000003</v>
      </c>
      <c r="Z51" s="9" t="str">
        <f t="shared" si="3"/>
        <v/>
      </c>
      <c r="AA51" s="9">
        <v>0.82599999999999996</v>
      </c>
      <c r="AB51" s="9" t="str">
        <f t="shared" si="3"/>
        <v/>
      </c>
      <c r="AC51" s="9">
        <v>0.90300000000000002</v>
      </c>
      <c r="AD51" s="9" t="str">
        <f t="shared" si="3"/>
        <v/>
      </c>
    </row>
    <row r="52" spans="1:30" x14ac:dyDescent="0.25">
      <c r="B52" s="9">
        <v>0</v>
      </c>
      <c r="C52" s="9" t="str">
        <f t="shared" si="0"/>
        <v/>
      </c>
      <c r="D52" s="9"/>
      <c r="E52" s="9">
        <v>0</v>
      </c>
      <c r="F52" s="9" t="str">
        <f t="shared" si="0"/>
        <v/>
      </c>
      <c r="G52" s="9">
        <v>0</v>
      </c>
      <c r="H52" s="9" t="str">
        <f t="shared" si="0"/>
        <v/>
      </c>
      <c r="I52" s="9">
        <v>0</v>
      </c>
      <c r="J52" s="9" t="str">
        <f t="shared" si="0"/>
        <v/>
      </c>
      <c r="K52" s="9"/>
      <c r="L52" s="9" t="str">
        <f t="shared" si="0"/>
        <v/>
      </c>
      <c r="M52" s="9"/>
      <c r="N52" s="9" t="str">
        <f t="shared" si="2"/>
        <v/>
      </c>
      <c r="O52" s="9"/>
      <c r="P52" s="9" t="str">
        <f t="shared" si="2"/>
        <v/>
      </c>
      <c r="Q52" s="9"/>
      <c r="R52" s="9" t="str">
        <f t="shared" si="2"/>
        <v/>
      </c>
      <c r="S52" s="9">
        <v>0</v>
      </c>
      <c r="T52" s="9" t="str">
        <f t="shared" si="2"/>
        <v/>
      </c>
      <c r="U52" s="9">
        <v>0</v>
      </c>
      <c r="V52" s="9" t="str">
        <f t="shared" si="2"/>
        <v/>
      </c>
      <c r="W52" s="9">
        <v>0</v>
      </c>
      <c r="X52" s="9" t="str">
        <f t="shared" si="3"/>
        <v/>
      </c>
      <c r="Y52" s="9">
        <v>0</v>
      </c>
      <c r="Z52" s="9" t="str">
        <f t="shared" si="3"/>
        <v/>
      </c>
      <c r="AA52" s="9">
        <v>0</v>
      </c>
      <c r="AB52" s="9" t="str">
        <f t="shared" si="3"/>
        <v/>
      </c>
      <c r="AC52" s="9">
        <v>0</v>
      </c>
      <c r="AD52" s="9" t="str">
        <f t="shared" si="3"/>
        <v/>
      </c>
    </row>
    <row r="53" spans="1:30" x14ac:dyDescent="0.25">
      <c r="A53" t="s">
        <v>46</v>
      </c>
      <c r="B53" s="9">
        <v>10.156499999999999</v>
      </c>
      <c r="C53" s="9" t="str">
        <f t="shared" si="0"/>
        <v/>
      </c>
      <c r="D53" s="9" t="str">
        <f>+CONCATENATE(ROUND(B53,3), " ",C53)</f>
        <v xml:space="preserve">10,157 </v>
      </c>
      <c r="E53" s="9">
        <v>11.696400000000001</v>
      </c>
      <c r="F53" s="9" t="str">
        <f t="shared" si="0"/>
        <v/>
      </c>
      <c r="G53" s="9"/>
      <c r="H53" s="9" t="str">
        <f t="shared" si="0"/>
        <v>***</v>
      </c>
      <c r="I53" s="9"/>
      <c r="J53" s="9" t="str">
        <f t="shared" si="0"/>
        <v>***</v>
      </c>
      <c r="K53" s="9"/>
      <c r="L53" s="9" t="str">
        <f t="shared" si="0"/>
        <v>***</v>
      </c>
      <c r="M53" s="9"/>
      <c r="N53" s="9" t="str">
        <f t="shared" si="2"/>
        <v>***</v>
      </c>
      <c r="O53" s="9">
        <v>8.5853000000000002</v>
      </c>
      <c r="P53" s="9" t="str">
        <f t="shared" si="2"/>
        <v/>
      </c>
      <c r="Q53" s="9">
        <v>-1.1162000000000001</v>
      </c>
      <c r="R53" s="9" t="str">
        <f t="shared" si="2"/>
        <v/>
      </c>
      <c r="S53" s="9"/>
      <c r="T53" s="9" t="str">
        <f t="shared" si="2"/>
        <v>***</v>
      </c>
      <c r="U53" s="9"/>
      <c r="V53" s="9" t="str">
        <f t="shared" si="2"/>
        <v>***</v>
      </c>
      <c r="W53" s="9">
        <v>8.3434000000000008</v>
      </c>
      <c r="X53" s="9" t="str">
        <f t="shared" si="3"/>
        <v/>
      </c>
      <c r="Y53" s="9">
        <v>12.230499999999999</v>
      </c>
      <c r="Z53" s="9" t="str">
        <f t="shared" si="3"/>
        <v/>
      </c>
      <c r="AA53" s="9"/>
      <c r="AB53" s="9" t="str">
        <f t="shared" si="3"/>
        <v>***</v>
      </c>
      <c r="AC53" s="9"/>
      <c r="AD53" s="9" t="str">
        <f t="shared" si="3"/>
        <v>***</v>
      </c>
    </row>
    <row r="54" spans="1:30" x14ac:dyDescent="0.25">
      <c r="B54" s="9">
        <v>7.7329999999999997</v>
      </c>
      <c r="C54" s="9" t="str">
        <f t="shared" si="0"/>
        <v/>
      </c>
      <c r="D54" s="9" t="str">
        <f>+CONCATENATE("(",ROUND(B54,3),")")</f>
        <v>(7,733)</v>
      </c>
      <c r="E54" s="9">
        <v>9.8320000000000007</v>
      </c>
      <c r="F54" s="9" t="str">
        <f t="shared" si="0"/>
        <v/>
      </c>
      <c r="G54" s="9"/>
      <c r="H54" s="9" t="str">
        <f t="shared" si="0"/>
        <v/>
      </c>
      <c r="I54" s="9"/>
      <c r="J54" s="9" t="str">
        <f t="shared" si="0"/>
        <v/>
      </c>
      <c r="K54" s="9"/>
      <c r="L54" s="9" t="str">
        <f t="shared" si="0"/>
        <v/>
      </c>
      <c r="M54" s="9"/>
      <c r="N54" s="9" t="str">
        <f t="shared" si="2"/>
        <v/>
      </c>
      <c r="O54" s="9">
        <v>9.9139999999999997</v>
      </c>
      <c r="P54" s="9" t="str">
        <f t="shared" si="2"/>
        <v/>
      </c>
      <c r="Q54" s="9">
        <v>12.169</v>
      </c>
      <c r="R54" s="9" t="str">
        <f t="shared" si="2"/>
        <v/>
      </c>
      <c r="S54" s="9"/>
      <c r="T54" s="9" t="str">
        <f t="shared" si="2"/>
        <v/>
      </c>
      <c r="U54" s="9"/>
      <c r="V54" s="9" t="str">
        <f t="shared" si="2"/>
        <v/>
      </c>
      <c r="W54" s="9">
        <v>6.5860000000000003</v>
      </c>
      <c r="X54" s="9" t="str">
        <f t="shared" si="3"/>
        <v/>
      </c>
      <c r="Y54" s="9">
        <v>8.77</v>
      </c>
      <c r="Z54" s="9" t="str">
        <f t="shared" si="3"/>
        <v/>
      </c>
      <c r="AA54" s="9"/>
      <c r="AB54" s="9" t="str">
        <f t="shared" si="3"/>
        <v/>
      </c>
      <c r="AC54" s="9"/>
      <c r="AD54" s="9" t="str">
        <f t="shared" si="3"/>
        <v/>
      </c>
    </row>
    <row r="55" spans="1:30" x14ac:dyDescent="0.25">
      <c r="B55" s="9">
        <v>0.19</v>
      </c>
      <c r="C55" s="9" t="str">
        <f t="shared" si="0"/>
        <v/>
      </c>
      <c r="D55" s="9"/>
      <c r="E55" s="9">
        <v>0.23499999999999999</v>
      </c>
      <c r="F55" s="9" t="str">
        <f t="shared" si="0"/>
        <v/>
      </c>
      <c r="G55" s="9"/>
      <c r="H55" s="9" t="str">
        <f t="shared" si="0"/>
        <v/>
      </c>
      <c r="I55" s="9"/>
      <c r="J55" s="9" t="str">
        <f t="shared" si="0"/>
        <v/>
      </c>
      <c r="K55" s="9"/>
      <c r="L55" s="9" t="str">
        <f t="shared" si="0"/>
        <v/>
      </c>
      <c r="M55" s="9"/>
      <c r="N55" s="9" t="str">
        <f t="shared" si="2"/>
        <v/>
      </c>
      <c r="O55" s="9">
        <v>0.38700000000000001</v>
      </c>
      <c r="P55" s="9" t="str">
        <f t="shared" si="2"/>
        <v/>
      </c>
      <c r="Q55" s="9">
        <v>0.92700000000000005</v>
      </c>
      <c r="R55" s="9" t="str">
        <f t="shared" si="2"/>
        <v/>
      </c>
      <c r="S55" s="9"/>
      <c r="T55" s="9" t="str">
        <f t="shared" si="2"/>
        <v/>
      </c>
      <c r="U55" s="9"/>
      <c r="V55" s="9" t="str">
        <f t="shared" si="2"/>
        <v/>
      </c>
      <c r="W55" s="9">
        <v>0.20599999999999999</v>
      </c>
      <c r="X55" s="9" t="str">
        <f t="shared" si="3"/>
        <v/>
      </c>
      <c r="Y55" s="9">
        <v>0.16400000000000001</v>
      </c>
      <c r="Z55" s="9" t="str">
        <f t="shared" si="3"/>
        <v/>
      </c>
      <c r="AA55" s="9"/>
      <c r="AB55" s="9" t="str">
        <f t="shared" si="3"/>
        <v/>
      </c>
      <c r="AC55" s="9"/>
      <c r="AD55" s="9" t="str">
        <f t="shared" si="3"/>
        <v/>
      </c>
    </row>
    <row r="56" spans="1:30" x14ac:dyDescent="0.25">
      <c r="A56" t="s">
        <v>47</v>
      </c>
      <c r="B56" s="9">
        <v>6.9999999999999999E-4</v>
      </c>
      <c r="C56" s="9" t="str">
        <f t="shared" si="0"/>
        <v/>
      </c>
      <c r="D56" s="9" t="str">
        <f>+CONCATENATE(ROUND(B56,3), " ",C56)</f>
        <v xml:space="preserve">0,001 </v>
      </c>
      <c r="E56" s="9">
        <v>8.9999999999999998E-4</v>
      </c>
      <c r="F56" s="9" t="str">
        <f t="shared" si="0"/>
        <v/>
      </c>
      <c r="G56" s="9"/>
      <c r="H56" s="9" t="str">
        <f t="shared" si="0"/>
        <v>***</v>
      </c>
      <c r="I56" s="9"/>
      <c r="J56" s="9" t="str">
        <f t="shared" si="0"/>
        <v>***</v>
      </c>
      <c r="K56" s="9">
        <v>3.2000000000000002E-3</v>
      </c>
      <c r="L56" s="9" t="str">
        <f t="shared" si="0"/>
        <v>*</v>
      </c>
      <c r="M56" s="9">
        <v>2.5000000000000001E-3</v>
      </c>
      <c r="N56" s="9" t="str">
        <f t="shared" si="2"/>
        <v/>
      </c>
      <c r="O56" s="9">
        <v>1.1000000000000001E-3</v>
      </c>
      <c r="P56" s="9" t="str">
        <f t="shared" si="2"/>
        <v/>
      </c>
      <c r="Q56" s="9">
        <v>1.5E-3</v>
      </c>
      <c r="R56" s="9" t="str">
        <f t="shared" si="2"/>
        <v/>
      </c>
      <c r="S56" s="9"/>
      <c r="T56" s="9" t="str">
        <f t="shared" si="2"/>
        <v>***</v>
      </c>
      <c r="U56" s="9"/>
      <c r="V56" s="9" t="str">
        <f t="shared" si="2"/>
        <v>***</v>
      </c>
      <c r="W56" s="9">
        <v>6.9999999999999999E-4</v>
      </c>
      <c r="X56" s="9" t="str">
        <f t="shared" si="3"/>
        <v/>
      </c>
      <c r="Y56" s="9">
        <v>6.9999999999999999E-4</v>
      </c>
      <c r="Z56" s="9" t="str">
        <f t="shared" si="3"/>
        <v/>
      </c>
      <c r="AA56" s="9"/>
      <c r="AB56" s="9" t="str">
        <f t="shared" si="3"/>
        <v>***</v>
      </c>
      <c r="AC56" s="9"/>
      <c r="AD56" s="9" t="str">
        <f t="shared" si="3"/>
        <v>***</v>
      </c>
    </row>
    <row r="57" spans="1:30" x14ac:dyDescent="0.25">
      <c r="B57" s="9">
        <v>1E-3</v>
      </c>
      <c r="C57" s="9" t="str">
        <f t="shared" si="0"/>
        <v/>
      </c>
      <c r="D57" s="9" t="str">
        <f>+CONCATENATE("(",ROUND(B57,3),")")</f>
        <v>(0,001)</v>
      </c>
      <c r="E57" s="9">
        <v>1E-3</v>
      </c>
      <c r="F57" s="9" t="str">
        <f t="shared" si="0"/>
        <v/>
      </c>
      <c r="G57" s="9"/>
      <c r="H57" s="9" t="str">
        <f t="shared" si="0"/>
        <v/>
      </c>
      <c r="I57" s="9"/>
      <c r="J57" s="9" t="str">
        <f t="shared" si="0"/>
        <v/>
      </c>
      <c r="K57" s="9">
        <v>2E-3</v>
      </c>
      <c r="L57" s="9" t="str">
        <f t="shared" si="0"/>
        <v/>
      </c>
      <c r="M57" s="9">
        <v>2E-3</v>
      </c>
      <c r="N57" s="9" t="str">
        <f t="shared" si="2"/>
        <v/>
      </c>
      <c r="O57" s="9">
        <v>2E-3</v>
      </c>
      <c r="P57" s="9" t="str">
        <f t="shared" si="2"/>
        <v/>
      </c>
      <c r="Q57" s="9">
        <v>2E-3</v>
      </c>
      <c r="R57" s="9" t="str">
        <f t="shared" si="2"/>
        <v/>
      </c>
      <c r="S57" s="9"/>
      <c r="T57" s="9" t="str">
        <f t="shared" si="2"/>
        <v/>
      </c>
      <c r="U57" s="9"/>
      <c r="V57" s="9" t="str">
        <f t="shared" si="2"/>
        <v/>
      </c>
      <c r="W57" s="9">
        <v>1E-3</v>
      </c>
      <c r="X57" s="9" t="str">
        <f t="shared" si="3"/>
        <v/>
      </c>
      <c r="Y57" s="9">
        <v>1E-3</v>
      </c>
      <c r="Z57" s="9" t="str">
        <f t="shared" si="3"/>
        <v/>
      </c>
      <c r="AA57" s="9"/>
      <c r="AB57" s="9" t="str">
        <f t="shared" si="3"/>
        <v/>
      </c>
      <c r="AC57" s="9"/>
      <c r="AD57" s="9" t="str">
        <f t="shared" si="3"/>
        <v/>
      </c>
    </row>
    <row r="58" spans="1:30" x14ac:dyDescent="0.25">
      <c r="A58" s="3"/>
      <c r="B58" s="10">
        <v>0.625</v>
      </c>
      <c r="C58" s="9" t="str">
        <f t="shared" si="0"/>
        <v/>
      </c>
      <c r="D58" s="9"/>
      <c r="E58" s="10">
        <v>0.55000000000000004</v>
      </c>
      <c r="F58" s="9" t="str">
        <f t="shared" si="0"/>
        <v/>
      </c>
      <c r="G58" s="10"/>
      <c r="H58" s="9" t="str">
        <f t="shared" si="0"/>
        <v/>
      </c>
      <c r="I58" s="10"/>
      <c r="J58" s="9" t="str">
        <f t="shared" si="0"/>
        <v/>
      </c>
      <c r="K58" s="10">
        <v>8.3000000000000004E-2</v>
      </c>
      <c r="L58" s="9" t="str">
        <f t="shared" si="0"/>
        <v/>
      </c>
      <c r="M58" s="10">
        <v>0.161</v>
      </c>
      <c r="N58" s="9" t="str">
        <f t="shared" si="2"/>
        <v/>
      </c>
      <c r="O58" s="10">
        <v>0.57499999999999996</v>
      </c>
      <c r="P58" s="9" t="str">
        <f t="shared" si="2"/>
        <v/>
      </c>
      <c r="Q58" s="10">
        <v>0.42799999999999999</v>
      </c>
      <c r="R58" s="9" t="str">
        <f t="shared" si="2"/>
        <v/>
      </c>
      <c r="S58" s="10"/>
      <c r="T58" s="9" t="str">
        <f t="shared" si="2"/>
        <v/>
      </c>
      <c r="U58" s="10"/>
      <c r="V58" s="9" t="str">
        <f t="shared" si="2"/>
        <v/>
      </c>
      <c r="W58" s="10">
        <v>0.61</v>
      </c>
      <c r="X58" s="9" t="str">
        <f t="shared" si="3"/>
        <v/>
      </c>
      <c r="Y58" s="10">
        <v>0.59599999999999997</v>
      </c>
      <c r="Z58" s="9" t="str">
        <f t="shared" si="3"/>
        <v/>
      </c>
      <c r="AA58" s="10"/>
      <c r="AB58" s="9" t="str">
        <f t="shared" si="3"/>
        <v/>
      </c>
      <c r="AC58" s="10"/>
      <c r="AD58" s="9" t="str">
        <f t="shared" si="3"/>
        <v/>
      </c>
    </row>
    <row r="59" spans="1:3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5">
      <c r="A60" s="2" t="s">
        <v>21</v>
      </c>
      <c r="B60" s="4" t="s">
        <v>22</v>
      </c>
      <c r="C60" s="4"/>
      <c r="D60" s="4"/>
      <c r="E60" s="4" t="s">
        <v>23</v>
      </c>
      <c r="F60" s="4"/>
      <c r="G60" s="4" t="s">
        <v>22</v>
      </c>
      <c r="H60" s="4"/>
      <c r="I60" s="4" t="s">
        <v>23</v>
      </c>
      <c r="J60" s="4"/>
      <c r="K60" s="4" t="s">
        <v>22</v>
      </c>
      <c r="L60" s="4"/>
      <c r="M60" s="4" t="s">
        <v>23</v>
      </c>
      <c r="N60" s="4"/>
      <c r="O60" s="4" t="s">
        <v>22</v>
      </c>
      <c r="P60" s="4"/>
      <c r="Q60" s="4" t="s">
        <v>23</v>
      </c>
      <c r="R60" s="4"/>
      <c r="S60" s="4" t="s">
        <v>22</v>
      </c>
      <c r="T60" s="4"/>
      <c r="U60" s="4" t="s">
        <v>23</v>
      </c>
      <c r="V60" s="4"/>
      <c r="W60" s="4" t="s">
        <v>22</v>
      </c>
      <c r="X60" s="4"/>
      <c r="Y60" s="4" t="s">
        <v>23</v>
      </c>
      <c r="Z60" s="4"/>
      <c r="AA60" s="4" t="s">
        <v>22</v>
      </c>
      <c r="AB60" s="4"/>
      <c r="AC60" s="4" t="s">
        <v>23</v>
      </c>
      <c r="AD60" s="4"/>
    </row>
    <row r="61" spans="1:3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5">
      <c r="A62" t="s">
        <v>24</v>
      </c>
      <c r="B62" s="5">
        <v>1099.52</v>
      </c>
      <c r="C62" s="5"/>
      <c r="D62" s="5"/>
      <c r="E62" s="5">
        <v>125.11</v>
      </c>
      <c r="F62" s="5"/>
      <c r="G62" s="5">
        <v>1276.3699999999999</v>
      </c>
      <c r="H62" s="5"/>
      <c r="I62" s="5">
        <v>139.06</v>
      </c>
      <c r="J62" s="5"/>
      <c r="K62" s="5">
        <v>87.98</v>
      </c>
      <c r="L62" s="5"/>
      <c r="M62" s="5">
        <v>118.66</v>
      </c>
      <c r="N62" s="5"/>
      <c r="O62" s="5">
        <v>156.09</v>
      </c>
      <c r="P62" s="5"/>
      <c r="Q62" s="5">
        <v>115.59</v>
      </c>
      <c r="R62" s="5"/>
      <c r="S62" s="5">
        <v>934.55</v>
      </c>
      <c r="T62" s="5"/>
      <c r="U62" s="5">
        <v>127.33</v>
      </c>
      <c r="V62" s="5"/>
      <c r="W62" s="5">
        <v>1211.23</v>
      </c>
      <c r="X62" s="5"/>
      <c r="Y62" s="5">
        <v>137.30000000000001</v>
      </c>
      <c r="Z62" s="5"/>
      <c r="AA62" s="5">
        <v>1127.6199999999999</v>
      </c>
      <c r="AB62" s="5"/>
      <c r="AC62" s="5">
        <v>134.66</v>
      </c>
      <c r="AD62" s="5"/>
    </row>
    <row r="63" spans="1:30" x14ac:dyDescent="0.25">
      <c r="A63" t="s">
        <v>25</v>
      </c>
      <c r="B63" s="5">
        <v>5212.38</v>
      </c>
      <c r="C63" s="5"/>
      <c r="D63" s="5"/>
      <c r="E63" s="5">
        <v>419.09</v>
      </c>
      <c r="F63" s="5"/>
      <c r="G63" s="5">
        <v>4985.08</v>
      </c>
      <c r="H63" s="5"/>
      <c r="I63" s="5">
        <v>410.95</v>
      </c>
      <c r="J63" s="5"/>
      <c r="K63" s="5">
        <v>336.73</v>
      </c>
      <c r="L63" s="5"/>
      <c r="M63" s="5">
        <v>351.37</v>
      </c>
      <c r="N63" s="5"/>
      <c r="O63" s="5">
        <v>516.61</v>
      </c>
      <c r="P63" s="5"/>
      <c r="Q63" s="5">
        <v>362.42</v>
      </c>
      <c r="R63" s="5"/>
      <c r="S63" s="5">
        <v>5029.9799999999996</v>
      </c>
      <c r="T63" s="5"/>
      <c r="U63" s="5">
        <v>410.15</v>
      </c>
      <c r="V63" s="5"/>
      <c r="W63" s="5">
        <v>4920.55</v>
      </c>
      <c r="X63" s="5"/>
      <c r="Y63" s="5">
        <v>408.2</v>
      </c>
      <c r="Z63" s="5"/>
      <c r="AA63" s="5">
        <v>4958.12</v>
      </c>
      <c r="AB63" s="5"/>
      <c r="AC63" s="5">
        <v>410.29</v>
      </c>
      <c r="AD63" s="5"/>
    </row>
    <row r="64" spans="1:30" x14ac:dyDescent="0.25">
      <c r="A64" t="s">
        <v>26</v>
      </c>
      <c r="B64" s="6">
        <v>0.70588235294117652</v>
      </c>
      <c r="C64" s="6"/>
      <c r="D64" s="6"/>
      <c r="E64" s="6">
        <v>0.69047619047619047</v>
      </c>
      <c r="F64" s="6"/>
      <c r="G64" s="6">
        <v>0.75</v>
      </c>
      <c r="H64" s="6"/>
      <c r="I64" s="6">
        <v>0.75757575757575757</v>
      </c>
      <c r="J64" s="6"/>
      <c r="K64" s="6">
        <v>0.625</v>
      </c>
      <c r="L64" s="6"/>
      <c r="M64" s="6">
        <v>0.75757575757575757</v>
      </c>
      <c r="N64" s="6"/>
      <c r="O64" s="6">
        <v>0.63636363636363635</v>
      </c>
      <c r="P64" s="6"/>
      <c r="Q64" s="6">
        <v>0.75</v>
      </c>
      <c r="R64" s="6"/>
      <c r="S64" s="6">
        <v>0.45454545454545447</v>
      </c>
      <c r="T64" s="6"/>
      <c r="U64" s="6">
        <v>0.69444444444444442</v>
      </c>
      <c r="V64" s="6"/>
      <c r="W64" s="6">
        <v>0.77777777777777779</v>
      </c>
      <c r="X64" s="6"/>
      <c r="Y64" s="6">
        <v>0.79411764705882348</v>
      </c>
      <c r="Z64" s="6"/>
      <c r="AA64" s="6">
        <v>0.55555555555555558</v>
      </c>
      <c r="AB64" s="6"/>
      <c r="AC64" s="6">
        <v>0.73529411764705888</v>
      </c>
      <c r="AD64" s="6"/>
    </row>
    <row r="65" spans="1:30" x14ac:dyDescent="0.25">
      <c r="A65" s="3" t="s">
        <v>27</v>
      </c>
      <c r="B65" s="7">
        <v>0.23529411764705879</v>
      </c>
      <c r="C65" s="7"/>
      <c r="D65" s="7"/>
      <c r="E65" s="7">
        <v>0.5</v>
      </c>
      <c r="F65" s="7"/>
      <c r="G65" s="7">
        <v>0.25</v>
      </c>
      <c r="H65" s="7"/>
      <c r="I65" s="7">
        <v>0.5757575757575758</v>
      </c>
      <c r="J65" s="7"/>
      <c r="K65" s="7">
        <v>0.25</v>
      </c>
      <c r="L65" s="7"/>
      <c r="M65" s="7">
        <v>0.5757575757575758</v>
      </c>
      <c r="N65" s="7"/>
      <c r="O65" s="7">
        <v>0.36363636363636359</v>
      </c>
      <c r="P65" s="7"/>
      <c r="Q65" s="7">
        <v>0.52777777777777779</v>
      </c>
      <c r="R65" s="7"/>
      <c r="S65" s="7">
        <v>0.1818181818181818</v>
      </c>
      <c r="T65" s="7"/>
      <c r="U65" s="7">
        <v>0.52777777777777779</v>
      </c>
      <c r="V65" s="7"/>
      <c r="W65" s="7">
        <v>0.22222222222222221</v>
      </c>
      <c r="X65" s="7"/>
      <c r="Y65" s="7">
        <v>0.55882352941176472</v>
      </c>
      <c r="Z65" s="7"/>
      <c r="AA65" s="7">
        <v>0.22222222222222221</v>
      </c>
      <c r="AB65" s="7"/>
      <c r="AC65" s="7">
        <v>0.55882352941176472</v>
      </c>
      <c r="AD65" s="7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D65"/>
  <sheetViews>
    <sheetView workbookViewId="0">
      <selection activeCell="D1" sqref="D1:D1048576"/>
    </sheetView>
  </sheetViews>
  <sheetFormatPr baseColWidth="10" defaultColWidth="9.140625" defaultRowHeight="15" x14ac:dyDescent="0.25"/>
  <cols>
    <col min="1" max="1" width="76.85546875" bestFit="1" customWidth="1"/>
    <col min="3" max="4" width="10.7109375" customWidth="1"/>
    <col min="6" max="6" width="10.7109375" customWidth="1"/>
    <col min="8" max="8" width="10.7109375" customWidth="1"/>
    <col min="10" max="10" width="10.7109375" customWidth="1"/>
    <col min="12" max="12" width="10.7109375" customWidth="1"/>
    <col min="14" max="14" width="10.7109375" customWidth="1"/>
    <col min="16" max="16" width="10.7109375" customWidth="1"/>
    <col min="18" max="18" width="10.7109375" customWidth="1"/>
    <col min="20" max="20" width="10.7109375" customWidth="1"/>
    <col min="22" max="22" width="10.7109375" customWidth="1"/>
    <col min="24" max="24" width="10.7109375" customWidth="1"/>
    <col min="26" max="26" width="10.7109375" customWidth="1"/>
    <col min="28" max="28" width="10.7109375" customWidth="1"/>
    <col min="30" max="30" width="10.7109375" customWidth="1"/>
  </cols>
  <sheetData>
    <row r="1" spans="1:30" x14ac:dyDescent="0.25">
      <c r="A1" s="12" t="s">
        <v>0</v>
      </c>
      <c r="B1" s="1" t="s">
        <v>1</v>
      </c>
      <c r="C1" s="1"/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  <c r="M1" s="1" t="s">
        <v>6</v>
      </c>
      <c r="N1" s="1"/>
      <c r="O1" s="1" t="s">
        <v>7</v>
      </c>
      <c r="P1" s="1"/>
      <c r="Q1" s="1" t="s">
        <v>8</v>
      </c>
      <c r="R1" s="1"/>
      <c r="S1" s="1" t="s">
        <v>9</v>
      </c>
      <c r="T1" s="1"/>
      <c r="U1" s="1" t="s">
        <v>10</v>
      </c>
      <c r="V1" s="1"/>
      <c r="W1" s="1" t="s">
        <v>11</v>
      </c>
      <c r="X1" s="1"/>
      <c r="Y1" s="1" t="s">
        <v>12</v>
      </c>
      <c r="Z1" s="1"/>
      <c r="AA1" s="1" t="s">
        <v>13</v>
      </c>
      <c r="AB1" s="1"/>
      <c r="AC1" s="1" t="s">
        <v>14</v>
      </c>
      <c r="AD1" s="1"/>
    </row>
    <row r="2" spans="1:30" x14ac:dyDescent="0.25">
      <c r="A2" s="2" t="s">
        <v>15</v>
      </c>
      <c r="B2" s="4" t="s">
        <v>28</v>
      </c>
      <c r="C2" s="4"/>
      <c r="D2" s="4"/>
      <c r="E2" s="4" t="s">
        <v>28</v>
      </c>
      <c r="F2" s="4"/>
      <c r="G2" s="4" t="s">
        <v>28</v>
      </c>
      <c r="H2" s="4"/>
      <c r="I2" s="4" t="s">
        <v>28</v>
      </c>
      <c r="J2" s="4"/>
      <c r="K2" s="4" t="s">
        <v>28</v>
      </c>
      <c r="L2" s="4"/>
      <c r="M2" s="4" t="s">
        <v>28</v>
      </c>
      <c r="N2" s="4"/>
      <c r="O2" s="4" t="s">
        <v>28</v>
      </c>
      <c r="P2" s="4"/>
      <c r="Q2" s="4" t="s">
        <v>28</v>
      </c>
      <c r="R2" s="4"/>
      <c r="S2" s="4" t="s">
        <v>28</v>
      </c>
      <c r="T2" s="4"/>
      <c r="U2" s="4" t="s">
        <v>28</v>
      </c>
      <c r="V2" s="4"/>
      <c r="W2" s="4" t="s">
        <v>28</v>
      </c>
      <c r="X2" s="4"/>
      <c r="Y2" s="4" t="s">
        <v>28</v>
      </c>
      <c r="Z2" s="4"/>
      <c r="AA2" s="4" t="s">
        <v>28</v>
      </c>
      <c r="AB2" s="4"/>
      <c r="AC2" s="4" t="s">
        <v>28</v>
      </c>
      <c r="AD2" s="4"/>
    </row>
    <row r="3" spans="1:3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t="s">
        <v>17</v>
      </c>
      <c r="B4" s="8" t="s">
        <v>30</v>
      </c>
      <c r="C4" s="8"/>
      <c r="D4" s="8"/>
      <c r="E4" s="8" t="s">
        <v>30</v>
      </c>
      <c r="F4" s="8"/>
      <c r="G4" s="8" t="s">
        <v>30</v>
      </c>
      <c r="H4" s="8"/>
      <c r="I4" s="8" t="s">
        <v>30</v>
      </c>
      <c r="J4" s="8"/>
      <c r="K4" s="8" t="s">
        <v>30</v>
      </c>
      <c r="L4" s="8"/>
      <c r="M4" s="8" t="s">
        <v>30</v>
      </c>
      <c r="N4" s="8"/>
      <c r="O4" s="8" t="s">
        <v>30</v>
      </c>
      <c r="P4" s="8"/>
      <c r="Q4" s="8" t="s">
        <v>30</v>
      </c>
      <c r="R4" s="8"/>
      <c r="S4" s="8" t="s">
        <v>30</v>
      </c>
      <c r="T4" s="8"/>
      <c r="U4" s="8" t="s">
        <v>30</v>
      </c>
      <c r="V4" s="8"/>
      <c r="W4" s="8" t="s">
        <v>30</v>
      </c>
      <c r="X4" s="8"/>
      <c r="Y4" s="8" t="s">
        <v>30</v>
      </c>
      <c r="Z4" s="8"/>
      <c r="AA4" s="8" t="s">
        <v>30</v>
      </c>
      <c r="AB4" s="8"/>
      <c r="AC4" s="8" t="s">
        <v>30</v>
      </c>
      <c r="AD4" s="8"/>
    </row>
    <row r="5" spans="1:30" x14ac:dyDescent="0.25">
      <c r="A5" t="s">
        <v>19</v>
      </c>
      <c r="B5" s="6">
        <v>0.96599999999999997</v>
      </c>
      <c r="C5" s="6"/>
      <c r="D5" s="6"/>
      <c r="E5" s="6">
        <v>0.97599999999999998</v>
      </c>
      <c r="F5" s="6"/>
      <c r="G5" s="6">
        <v>0.96399999999999997</v>
      </c>
      <c r="H5" s="6"/>
      <c r="I5" s="6">
        <v>0.97499999999999998</v>
      </c>
      <c r="J5" s="6"/>
      <c r="K5" s="6">
        <v>0.96299999999999997</v>
      </c>
      <c r="L5" s="6"/>
      <c r="M5" s="6">
        <v>0.97299999999999998</v>
      </c>
      <c r="N5" s="6"/>
      <c r="O5" s="6">
        <v>0.65200000000000002</v>
      </c>
      <c r="P5" s="6"/>
      <c r="Q5" s="6">
        <v>0.78400000000000003</v>
      </c>
      <c r="R5" s="6"/>
      <c r="S5" s="6">
        <v>0.64900000000000002</v>
      </c>
      <c r="T5" s="6"/>
      <c r="U5" s="6">
        <v>0.754</v>
      </c>
      <c r="V5" s="6"/>
      <c r="W5" s="6">
        <v>0.96499999999999997</v>
      </c>
      <c r="X5" s="6"/>
      <c r="Y5" s="6">
        <v>0.97499999999999998</v>
      </c>
      <c r="Z5" s="6"/>
      <c r="AA5" s="6">
        <v>0.96299999999999997</v>
      </c>
      <c r="AB5" s="6"/>
      <c r="AC5" s="6">
        <v>0.97399999999999998</v>
      </c>
      <c r="AD5" s="6"/>
    </row>
    <row r="6" spans="1:30" x14ac:dyDescent="0.25">
      <c r="A6" s="3" t="s">
        <v>20</v>
      </c>
      <c r="B6" s="7">
        <v>0.96499999999999997</v>
      </c>
      <c r="C6" s="7"/>
      <c r="D6" s="7"/>
      <c r="E6" s="7">
        <v>0.97399999999999998</v>
      </c>
      <c r="F6" s="7"/>
      <c r="G6" s="7">
        <v>0.96299999999999997</v>
      </c>
      <c r="H6" s="7"/>
      <c r="I6" s="7">
        <v>0.97299999999999998</v>
      </c>
      <c r="J6" s="7"/>
      <c r="K6" s="7">
        <v>0.96199999999999997</v>
      </c>
      <c r="L6" s="7"/>
      <c r="M6" s="7">
        <v>0.97099999999999997</v>
      </c>
      <c r="N6" s="7"/>
      <c r="O6" s="7">
        <v>0.64400000000000002</v>
      </c>
      <c r="P6" s="7"/>
      <c r="Q6" s="7">
        <v>0.76500000000000001</v>
      </c>
      <c r="R6" s="7"/>
      <c r="S6" s="7">
        <v>0.64</v>
      </c>
      <c r="T6" s="7"/>
      <c r="U6" s="7">
        <v>0.73199999999999998</v>
      </c>
      <c r="V6" s="7"/>
      <c r="W6" s="7">
        <v>0.96399999999999997</v>
      </c>
      <c r="X6" s="7"/>
      <c r="Y6" s="7">
        <v>0.97299999999999998</v>
      </c>
      <c r="Z6" s="7"/>
      <c r="AA6" s="7">
        <v>0.96199999999999997</v>
      </c>
      <c r="AB6" s="7"/>
      <c r="AC6" s="7">
        <v>0.97199999999999998</v>
      </c>
      <c r="AD6" s="7"/>
    </row>
    <row r="7" spans="1:3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13" t="s">
        <v>31</v>
      </c>
      <c r="B8" s="9">
        <v>-5.0500000000000003E-2</v>
      </c>
      <c r="C8" s="9" t="str">
        <f>+IF($A8&lt;&gt;"",IF(B10&lt;0.01,"***",IF(B10&lt;0.05,"**",IF(B10&lt;0.1,"*",""))),"")</f>
        <v/>
      </c>
      <c r="D8" s="9" t="str">
        <f>+CONCATENATE(ROUND(B8,3), " ",C8)</f>
        <v xml:space="preserve">-0,051 </v>
      </c>
      <c r="E8" s="9">
        <v>4.0399999999999998E-2</v>
      </c>
      <c r="F8" s="9" t="str">
        <f>+IF($A8&lt;&gt;"",IF(E10&lt;0.01,"***",IF(E10&lt;0.05,"**",IF(E10&lt;0.1,"*",""))),"")</f>
        <v/>
      </c>
      <c r="G8" s="9">
        <v>-0.1158</v>
      </c>
      <c r="H8" s="9" t="str">
        <f>+IF($A8&lt;&gt;"",IF(G10&lt;0.01,"***",IF(G10&lt;0.05,"**",IF(G10&lt;0.1,"*",""))),"")</f>
        <v/>
      </c>
      <c r="I8" s="9">
        <v>5.9900000000000002E-2</v>
      </c>
      <c r="J8" s="9" t="str">
        <f>+IF($A8&lt;&gt;"",IF(I10&lt;0.01,"***",IF(I10&lt;0.05,"**",IF(I10&lt;0.1,"*",""))),"")</f>
        <v/>
      </c>
      <c r="K8" s="9">
        <v>0.13700000000000001</v>
      </c>
      <c r="L8" s="9" t="str">
        <f>+IF($A8&lt;&gt;"",IF(K10&lt;0.01,"***",IF(K10&lt;0.05,"**",IF(K10&lt;0.1,"*",""))),"")</f>
        <v>**</v>
      </c>
      <c r="M8" s="9">
        <v>0.1467</v>
      </c>
      <c r="N8" s="9" t="str">
        <f>+IF($A8&lt;&gt;"",IF(M10&lt;0.01,"***",IF(M10&lt;0.05,"**",IF(M10&lt;0.1,"*",""))),"")</f>
        <v>***</v>
      </c>
      <c r="O8" s="9">
        <v>0.68720000000000003</v>
      </c>
      <c r="P8" s="9" t="str">
        <f>+IF($A8&lt;&gt;"",IF(O10&lt;0.01,"***",IF(O10&lt;0.05,"**",IF(O10&lt;0.1,"*",""))),"")</f>
        <v>***</v>
      </c>
      <c r="Q8" s="9">
        <v>0.42220000000000002</v>
      </c>
      <c r="R8" s="9" t="str">
        <f>+IF($A8&lt;&gt;"",IF(Q10&lt;0.01,"***",IF(Q10&lt;0.05,"**",IF(Q10&lt;0.1,"*",""))),"")</f>
        <v>***</v>
      </c>
      <c r="S8" s="9">
        <v>-2.5362</v>
      </c>
      <c r="T8" s="9" t="str">
        <f>+IF($A8&lt;&gt;"",IF(S10&lt;0.01,"***",IF(S10&lt;0.05,"**",IF(S10&lt;0.1,"*",""))),"")</f>
        <v>***</v>
      </c>
      <c r="U8" s="9">
        <v>-1.0229999999999999</v>
      </c>
      <c r="V8" s="9" t="str">
        <f>+IF($A8&lt;&gt;"",IF(U10&lt;0.01,"***",IF(U10&lt;0.05,"**",IF(U10&lt;0.1,"*",""))),"")</f>
        <v>**</v>
      </c>
      <c r="W8" s="9">
        <v>5.1700000000000003E-2</v>
      </c>
      <c r="X8" s="9" t="str">
        <f>+IF($A8&lt;&gt;"",IF(W10&lt;0.01,"***",IF(W10&lt;0.05,"**",IF(W10&lt;0.1,"*",""))),"")</f>
        <v>***</v>
      </c>
      <c r="Y8" s="9">
        <v>6.7599999999999993E-2</v>
      </c>
      <c r="Z8" s="9" t="str">
        <f>+IF($A8&lt;&gt;"",IF(Y10&lt;0.01,"***",IF(Y10&lt;0.05,"**",IF(Y10&lt;0.1,"*",""))),"")</f>
        <v>***</v>
      </c>
      <c r="AA8" s="9">
        <v>-0.2114</v>
      </c>
      <c r="AB8" s="9" t="str">
        <f>+IF($A8&lt;&gt;"",IF(AA10&lt;0.01,"***",IF(AA10&lt;0.05,"**",IF(AA10&lt;0.1,"*",""))),"")</f>
        <v/>
      </c>
      <c r="AC8" s="9">
        <v>-0.13439999999999999</v>
      </c>
      <c r="AD8" s="9" t="str">
        <f>+IF($A8&lt;&gt;"",IF(AC10&lt;0.01,"***",IF(AC10&lt;0.05,"**",IF(AC10&lt;0.1,"*",""))),"")</f>
        <v/>
      </c>
    </row>
    <row r="9" spans="1:30" x14ac:dyDescent="0.25">
      <c r="A9" s="14"/>
      <c r="B9" s="9">
        <v>0.16500000000000001</v>
      </c>
      <c r="C9" s="9" t="str">
        <f t="shared" ref="C9:N58" si="0">+IF($A9&lt;&gt;"",IF(B11&lt;0.01,"***",IF(B11&lt;0.05,"**",IF(B11&lt;0.1,"*",""))),"")</f>
        <v/>
      </c>
      <c r="D9" s="9" t="str">
        <f>+CONCATENATE("(",ROUND(B9,3),")")</f>
        <v>(0,165)</v>
      </c>
      <c r="E9" s="9">
        <v>0.14599999999999999</v>
      </c>
      <c r="F9" s="9" t="str">
        <f t="shared" si="0"/>
        <v/>
      </c>
      <c r="G9" s="9">
        <v>0.16400000000000001</v>
      </c>
      <c r="H9" s="9" t="str">
        <f t="shared" si="0"/>
        <v/>
      </c>
      <c r="I9" s="9">
        <v>0.14699999999999999</v>
      </c>
      <c r="J9" s="9" t="str">
        <f t="shared" si="0"/>
        <v/>
      </c>
      <c r="K9" s="9">
        <v>5.7000000000000002E-2</v>
      </c>
      <c r="L9" s="9" t="str">
        <f t="shared" si="0"/>
        <v/>
      </c>
      <c r="M9" s="9">
        <v>5.0999999999999997E-2</v>
      </c>
      <c r="N9" s="9" t="str">
        <f t="shared" si="0"/>
        <v/>
      </c>
      <c r="O9" s="9">
        <v>0.185</v>
      </c>
      <c r="P9" s="9" t="str">
        <f t="shared" ref="P9:AD43" si="1">+IF($A9&lt;&gt;"",IF(O11&lt;0.01,"***",IF(O11&lt;0.05,"**",IF(O11&lt;0.1,"*",""))),"")</f>
        <v/>
      </c>
      <c r="Q9" s="9">
        <v>0.158</v>
      </c>
      <c r="R9" s="9" t="str">
        <f t="shared" si="1"/>
        <v/>
      </c>
      <c r="S9" s="9">
        <v>0.50600000000000001</v>
      </c>
      <c r="T9" s="9" t="str">
        <f t="shared" si="1"/>
        <v/>
      </c>
      <c r="U9" s="9">
        <v>0.45800000000000002</v>
      </c>
      <c r="V9" s="9" t="str">
        <f t="shared" si="1"/>
        <v/>
      </c>
      <c r="W9" s="9">
        <v>1.6E-2</v>
      </c>
      <c r="X9" s="9" t="str">
        <f t="shared" si="1"/>
        <v/>
      </c>
      <c r="Y9" s="9">
        <v>1.9E-2</v>
      </c>
      <c r="Z9" s="9" t="str">
        <f t="shared" si="1"/>
        <v/>
      </c>
      <c r="AA9" s="9">
        <v>0.14299999999999999</v>
      </c>
      <c r="AB9" s="9" t="str">
        <f t="shared" si="1"/>
        <v/>
      </c>
      <c r="AC9" s="9">
        <v>0.13400000000000001</v>
      </c>
      <c r="AD9" s="9" t="str">
        <f t="shared" si="1"/>
        <v/>
      </c>
    </row>
    <row r="10" spans="1:30" x14ac:dyDescent="0.25">
      <c r="A10" s="14"/>
      <c r="B10" s="9">
        <v>0.76</v>
      </c>
      <c r="C10" s="9" t="str">
        <f t="shared" si="0"/>
        <v/>
      </c>
      <c r="D10" s="9"/>
      <c r="E10" s="9">
        <v>0.78300000000000003</v>
      </c>
      <c r="F10" s="9" t="str">
        <f t="shared" si="0"/>
        <v/>
      </c>
      <c r="G10" s="9">
        <v>0.48099999999999998</v>
      </c>
      <c r="H10" s="9" t="str">
        <f t="shared" si="0"/>
        <v/>
      </c>
      <c r="I10" s="9">
        <v>0.68300000000000005</v>
      </c>
      <c r="J10" s="9" t="str">
        <f t="shared" si="0"/>
        <v/>
      </c>
      <c r="K10" s="9">
        <v>1.6E-2</v>
      </c>
      <c r="L10" s="9" t="str">
        <f t="shared" si="0"/>
        <v/>
      </c>
      <c r="M10" s="9">
        <v>4.0000000000000001E-3</v>
      </c>
      <c r="N10" s="9" t="str">
        <f t="shared" si="0"/>
        <v/>
      </c>
      <c r="O10" s="9">
        <v>0</v>
      </c>
      <c r="P10" s="9" t="str">
        <f t="shared" si="1"/>
        <v/>
      </c>
      <c r="Q10" s="9">
        <v>8.0000000000000002E-3</v>
      </c>
      <c r="R10" s="9" t="str">
        <f t="shared" si="1"/>
        <v/>
      </c>
      <c r="S10" s="9">
        <v>0</v>
      </c>
      <c r="T10" s="9" t="str">
        <f t="shared" si="1"/>
        <v/>
      </c>
      <c r="U10" s="9">
        <v>2.5999999999999999E-2</v>
      </c>
      <c r="V10" s="9" t="str">
        <f t="shared" si="1"/>
        <v/>
      </c>
      <c r="W10" s="9">
        <v>2E-3</v>
      </c>
      <c r="X10" s="9" t="str">
        <f t="shared" si="1"/>
        <v/>
      </c>
      <c r="Y10" s="9">
        <v>0</v>
      </c>
      <c r="Z10" s="9" t="str">
        <f t="shared" si="1"/>
        <v/>
      </c>
      <c r="AA10" s="9">
        <v>0.14000000000000001</v>
      </c>
      <c r="AB10" s="9" t="str">
        <f t="shared" si="1"/>
        <v/>
      </c>
      <c r="AC10" s="9">
        <v>0.317</v>
      </c>
      <c r="AD10" s="9" t="str">
        <f t="shared" si="1"/>
        <v/>
      </c>
    </row>
    <row r="11" spans="1:30" x14ac:dyDescent="0.25">
      <c r="A11" t="s">
        <v>32</v>
      </c>
      <c r="B11" s="9">
        <v>-4.2729999999999999E-5</v>
      </c>
      <c r="C11" s="9" t="str">
        <f t="shared" si="0"/>
        <v>*</v>
      </c>
      <c r="D11" s="9" t="str">
        <f>+CONCATENATE(ROUND(B11,3), " ",C11)</f>
        <v>0 *</v>
      </c>
      <c r="E11" s="9">
        <v>-5.7359999999999998E-6</v>
      </c>
      <c r="F11" s="9" t="str">
        <f t="shared" si="0"/>
        <v/>
      </c>
      <c r="G11" s="9">
        <v>-6.0949999999999998E-5</v>
      </c>
      <c r="H11" s="9" t="str">
        <f t="shared" si="0"/>
        <v>***</v>
      </c>
      <c r="I11" s="9">
        <v>-2.62E-5</v>
      </c>
      <c r="J11" s="9" t="str">
        <f t="shared" si="0"/>
        <v/>
      </c>
      <c r="K11" s="9">
        <v>-4.8779999999999997E-5</v>
      </c>
      <c r="L11" s="9" t="str">
        <f t="shared" si="0"/>
        <v>**</v>
      </c>
      <c r="M11" s="9">
        <v>-1.006E-5</v>
      </c>
      <c r="N11" s="9" t="str">
        <f t="shared" si="0"/>
        <v/>
      </c>
      <c r="O11" s="9">
        <v>2.9999999999999997E-4</v>
      </c>
      <c r="P11" s="9" t="str">
        <f t="shared" si="1"/>
        <v>***</v>
      </c>
      <c r="Q11" s="9">
        <v>4.0000000000000002E-4</v>
      </c>
      <c r="R11" s="9" t="str">
        <f t="shared" si="1"/>
        <v>***</v>
      </c>
      <c r="S11" s="9"/>
      <c r="T11" s="9" t="str">
        <f t="shared" si="1"/>
        <v>***</v>
      </c>
      <c r="U11" s="9"/>
      <c r="V11" s="9" t="str">
        <f t="shared" si="1"/>
        <v>***</v>
      </c>
      <c r="W11" s="9">
        <v>-4.5040000000000002E-5</v>
      </c>
      <c r="X11" s="9" t="str">
        <f t="shared" si="1"/>
        <v>**</v>
      </c>
      <c r="Y11" s="9">
        <v>-9.098E-6</v>
      </c>
      <c r="Z11" s="9" t="str">
        <f t="shared" si="1"/>
        <v/>
      </c>
      <c r="AA11" s="9"/>
      <c r="AB11" s="9" t="str">
        <f t="shared" si="1"/>
        <v>***</v>
      </c>
      <c r="AC11" s="9"/>
      <c r="AD11" s="9" t="str">
        <f t="shared" si="1"/>
        <v>***</v>
      </c>
    </row>
    <row r="12" spans="1:30" x14ac:dyDescent="0.25">
      <c r="B12" s="9">
        <v>2.3499999999999999E-5</v>
      </c>
      <c r="C12" s="9" t="str">
        <f t="shared" si="0"/>
        <v/>
      </c>
      <c r="D12" s="9" t="str">
        <f>+CONCATENATE("(",ROUND(B12,3),")")</f>
        <v>(0)</v>
      </c>
      <c r="E12" s="9">
        <v>2.27E-5</v>
      </c>
      <c r="F12" s="9" t="str">
        <f t="shared" si="0"/>
        <v/>
      </c>
      <c r="G12" s="9">
        <v>2.1699999999999999E-5</v>
      </c>
      <c r="H12" s="9" t="str">
        <f t="shared" si="0"/>
        <v/>
      </c>
      <c r="I12" s="9">
        <v>2.1399999999999998E-5</v>
      </c>
      <c r="J12" s="9" t="str">
        <f t="shared" si="0"/>
        <v/>
      </c>
      <c r="K12" s="9">
        <v>2.2399999999999999E-5</v>
      </c>
      <c r="L12" s="9" t="str">
        <f t="shared" si="0"/>
        <v/>
      </c>
      <c r="M12" s="9">
        <v>2.23E-5</v>
      </c>
      <c r="N12" s="9" t="str">
        <f t="shared" si="0"/>
        <v/>
      </c>
      <c r="O12" s="9">
        <v>6.9400000000000006E-5</v>
      </c>
      <c r="P12" s="9" t="str">
        <f t="shared" si="1"/>
        <v/>
      </c>
      <c r="Q12" s="9">
        <v>6.2799999999999995E-5</v>
      </c>
      <c r="R12" s="9" t="str">
        <f t="shared" si="1"/>
        <v/>
      </c>
      <c r="S12" s="9"/>
      <c r="T12" s="9" t="str">
        <f t="shared" si="1"/>
        <v/>
      </c>
      <c r="U12" s="9"/>
      <c r="V12" s="9" t="str">
        <f t="shared" si="1"/>
        <v/>
      </c>
      <c r="W12" s="9">
        <v>2.2500000000000001E-5</v>
      </c>
      <c r="X12" s="9" t="str">
        <f t="shared" si="1"/>
        <v/>
      </c>
      <c r="Y12" s="9">
        <v>2.2099999999999998E-5</v>
      </c>
      <c r="Z12" s="9" t="str">
        <f t="shared" si="1"/>
        <v/>
      </c>
      <c r="AA12" s="9"/>
      <c r="AB12" s="9" t="str">
        <f t="shared" si="1"/>
        <v/>
      </c>
      <c r="AC12" s="9"/>
      <c r="AD12" s="9" t="str">
        <f t="shared" si="1"/>
        <v/>
      </c>
    </row>
    <row r="13" spans="1:30" x14ac:dyDescent="0.25">
      <c r="B13" s="9">
        <v>7.0000000000000007E-2</v>
      </c>
      <c r="C13" s="9" t="str">
        <f t="shared" si="0"/>
        <v/>
      </c>
      <c r="D13" s="9"/>
      <c r="E13" s="9">
        <v>0.8</v>
      </c>
      <c r="F13" s="9" t="str">
        <f t="shared" si="0"/>
        <v/>
      </c>
      <c r="G13" s="9">
        <v>5.0000000000000001E-3</v>
      </c>
      <c r="H13" s="9" t="str">
        <f t="shared" si="0"/>
        <v/>
      </c>
      <c r="I13" s="9">
        <v>0.222</v>
      </c>
      <c r="J13" s="9" t="str">
        <f t="shared" si="0"/>
        <v/>
      </c>
      <c r="K13" s="9">
        <v>0.03</v>
      </c>
      <c r="L13" s="9" t="str">
        <f t="shared" si="0"/>
        <v/>
      </c>
      <c r="M13" s="9">
        <v>0.65200000000000002</v>
      </c>
      <c r="N13" s="9" t="str">
        <f t="shared" si="0"/>
        <v/>
      </c>
      <c r="O13" s="9">
        <v>0</v>
      </c>
      <c r="P13" s="9" t="str">
        <f t="shared" si="1"/>
        <v/>
      </c>
      <c r="Q13" s="9">
        <v>0</v>
      </c>
      <c r="R13" s="9" t="str">
        <f t="shared" si="1"/>
        <v/>
      </c>
      <c r="S13" s="9"/>
      <c r="T13" s="9" t="str">
        <f t="shared" si="1"/>
        <v/>
      </c>
      <c r="U13" s="9"/>
      <c r="V13" s="9" t="str">
        <f t="shared" si="1"/>
        <v/>
      </c>
      <c r="W13" s="9">
        <v>4.5999999999999999E-2</v>
      </c>
      <c r="X13" s="9" t="str">
        <f t="shared" si="1"/>
        <v/>
      </c>
      <c r="Y13" s="9">
        <v>0.68100000000000005</v>
      </c>
      <c r="Z13" s="9" t="str">
        <f t="shared" si="1"/>
        <v/>
      </c>
      <c r="AA13" s="9"/>
      <c r="AB13" s="9" t="str">
        <f t="shared" si="1"/>
        <v/>
      </c>
      <c r="AC13" s="9"/>
      <c r="AD13" s="9" t="str">
        <f t="shared" si="1"/>
        <v/>
      </c>
    </row>
    <row r="14" spans="1:30" x14ac:dyDescent="0.25">
      <c r="A14" t="s">
        <v>33</v>
      </c>
      <c r="B14" s="9">
        <v>1E-4</v>
      </c>
      <c r="C14" s="9" t="str">
        <f t="shared" si="0"/>
        <v/>
      </c>
      <c r="D14" s="9" t="str">
        <f>+CONCATENATE(ROUND(B14,3), " ",C14)</f>
        <v xml:space="preserve">0 </v>
      </c>
      <c r="E14" s="9">
        <v>-1E-4</v>
      </c>
      <c r="F14" s="9" t="str">
        <f t="shared" si="0"/>
        <v/>
      </c>
      <c r="G14" s="9"/>
      <c r="H14" s="9" t="str">
        <f t="shared" si="0"/>
        <v>***</v>
      </c>
      <c r="I14" s="9"/>
      <c r="J14" s="9" t="str">
        <f t="shared" si="0"/>
        <v>***</v>
      </c>
      <c r="K14" s="9">
        <v>1E-4</v>
      </c>
      <c r="L14" s="9" t="str">
        <f t="shared" si="0"/>
        <v/>
      </c>
      <c r="M14" s="9">
        <v>-3.2879999999999997E-5</v>
      </c>
      <c r="N14" s="9" t="str">
        <f t="shared" ref="N14:X58" si="2">+IF($A14&lt;&gt;"",IF(M16&lt;0.01,"***",IF(M16&lt;0.05,"**",IF(M16&lt;0.1,"*",""))),"")</f>
        <v/>
      </c>
      <c r="O14" s="9"/>
      <c r="P14" s="9" t="str">
        <f t="shared" si="2"/>
        <v>***</v>
      </c>
      <c r="Q14" s="9"/>
      <c r="R14" s="9" t="str">
        <f t="shared" si="2"/>
        <v>***</v>
      </c>
      <c r="S14" s="9">
        <v>1.1000000000000001E-3</v>
      </c>
      <c r="T14" s="9" t="str">
        <f t="shared" si="2"/>
        <v/>
      </c>
      <c r="U14" s="9">
        <v>4.0000000000000002E-4</v>
      </c>
      <c r="V14" s="9" t="str">
        <f t="shared" si="2"/>
        <v/>
      </c>
      <c r="W14" s="9">
        <v>1E-4</v>
      </c>
      <c r="X14" s="9" t="str">
        <f t="shared" si="2"/>
        <v/>
      </c>
      <c r="Y14" s="9">
        <v>-7.7940000000000003E-5</v>
      </c>
      <c r="Z14" s="9" t="str">
        <f t="shared" si="1"/>
        <v/>
      </c>
      <c r="AA14" s="9">
        <v>2.0000000000000001E-4</v>
      </c>
      <c r="AB14" s="9" t="str">
        <f t="shared" si="1"/>
        <v/>
      </c>
      <c r="AC14" s="9">
        <v>6.844E-6</v>
      </c>
      <c r="AD14" s="9" t="str">
        <f t="shared" si="1"/>
        <v/>
      </c>
    </row>
    <row r="15" spans="1:30" x14ac:dyDescent="0.25">
      <c r="B15" s="9">
        <v>0</v>
      </c>
      <c r="C15" s="9" t="str">
        <f t="shared" si="0"/>
        <v/>
      </c>
      <c r="D15" s="9" t="str">
        <f>+CONCATENATE("(",ROUND(B15,3),")")</f>
        <v>(0)</v>
      </c>
      <c r="E15" s="9">
        <v>0</v>
      </c>
      <c r="F15" s="9" t="str">
        <f t="shared" si="0"/>
        <v/>
      </c>
      <c r="G15" s="9"/>
      <c r="H15" s="9" t="str">
        <f t="shared" si="0"/>
        <v/>
      </c>
      <c r="I15" s="9"/>
      <c r="J15" s="9" t="str">
        <f t="shared" si="0"/>
        <v/>
      </c>
      <c r="K15" s="9">
        <v>0</v>
      </c>
      <c r="L15" s="9" t="str">
        <f t="shared" si="0"/>
        <v/>
      </c>
      <c r="M15" s="9">
        <v>0</v>
      </c>
      <c r="N15" s="9" t="str">
        <f t="shared" si="2"/>
        <v/>
      </c>
      <c r="O15" s="9"/>
      <c r="P15" s="9" t="str">
        <f t="shared" si="2"/>
        <v/>
      </c>
      <c r="Q15" s="9"/>
      <c r="R15" s="9" t="str">
        <f t="shared" si="2"/>
        <v/>
      </c>
      <c r="S15" s="9">
        <v>1E-3</v>
      </c>
      <c r="T15" s="9" t="str">
        <f t="shared" si="2"/>
        <v/>
      </c>
      <c r="U15" s="9">
        <v>1E-3</v>
      </c>
      <c r="V15" s="9" t="str">
        <f t="shared" si="2"/>
        <v/>
      </c>
      <c r="W15" s="9">
        <v>0</v>
      </c>
      <c r="X15" s="9" t="str">
        <f t="shared" si="2"/>
        <v/>
      </c>
      <c r="Y15" s="9">
        <v>0</v>
      </c>
      <c r="Z15" s="9" t="str">
        <f t="shared" si="1"/>
        <v/>
      </c>
      <c r="AA15" s="9">
        <v>0</v>
      </c>
      <c r="AB15" s="9" t="str">
        <f t="shared" si="1"/>
        <v/>
      </c>
      <c r="AC15" s="9">
        <v>0</v>
      </c>
      <c r="AD15" s="9" t="str">
        <f t="shared" si="1"/>
        <v/>
      </c>
    </row>
    <row r="16" spans="1:30" x14ac:dyDescent="0.25">
      <c r="B16" s="9">
        <v>0.5</v>
      </c>
      <c r="C16" s="9" t="str">
        <f t="shared" si="0"/>
        <v/>
      </c>
      <c r="D16" s="9"/>
      <c r="E16" s="9">
        <v>0.6</v>
      </c>
      <c r="F16" s="9" t="str">
        <f t="shared" si="0"/>
        <v/>
      </c>
      <c r="G16" s="9"/>
      <c r="H16" s="9" t="str">
        <f t="shared" si="0"/>
        <v/>
      </c>
      <c r="I16" s="9"/>
      <c r="J16" s="9" t="str">
        <f t="shared" si="0"/>
        <v/>
      </c>
      <c r="K16" s="9">
        <v>0.52400000000000002</v>
      </c>
      <c r="L16" s="9" t="str">
        <f t="shared" si="0"/>
        <v/>
      </c>
      <c r="M16" s="9">
        <v>0.872</v>
      </c>
      <c r="N16" s="9" t="str">
        <f t="shared" si="2"/>
        <v/>
      </c>
      <c r="O16" s="9"/>
      <c r="P16" s="9" t="str">
        <f t="shared" si="2"/>
        <v/>
      </c>
      <c r="Q16" s="9"/>
      <c r="R16" s="9" t="str">
        <f t="shared" si="2"/>
        <v/>
      </c>
      <c r="S16" s="9">
        <v>0.114</v>
      </c>
      <c r="T16" s="9" t="str">
        <f t="shared" si="2"/>
        <v/>
      </c>
      <c r="U16" s="9">
        <v>0.57899999999999996</v>
      </c>
      <c r="V16" s="9" t="str">
        <f t="shared" si="2"/>
        <v/>
      </c>
      <c r="W16" s="9">
        <v>0.61799999999999999</v>
      </c>
      <c r="X16" s="9" t="str">
        <f t="shared" si="2"/>
        <v/>
      </c>
      <c r="Y16" s="9">
        <v>0.69699999999999995</v>
      </c>
      <c r="Z16" s="9" t="str">
        <f t="shared" si="1"/>
        <v/>
      </c>
      <c r="AA16" s="9">
        <v>0.309</v>
      </c>
      <c r="AB16" s="9" t="str">
        <f t="shared" si="1"/>
        <v/>
      </c>
      <c r="AC16" s="9">
        <v>0.97299999999999998</v>
      </c>
      <c r="AD16" s="9" t="str">
        <f t="shared" si="1"/>
        <v/>
      </c>
    </row>
    <row r="17" spans="1:30" x14ac:dyDescent="0.25">
      <c r="A17" t="s">
        <v>34</v>
      </c>
      <c r="B17" s="9">
        <v>-1.1999999999999999E-3</v>
      </c>
      <c r="C17" s="9" t="str">
        <f t="shared" si="0"/>
        <v>**</v>
      </c>
      <c r="D17" s="9" t="str">
        <f>+CONCATENATE(ROUND(B17,3), " ",C17)</f>
        <v>-0,001 **</v>
      </c>
      <c r="E17" s="9">
        <v>-1.9E-3</v>
      </c>
      <c r="F17" s="9" t="str">
        <f t="shared" si="0"/>
        <v>***</v>
      </c>
      <c r="G17" s="9">
        <v>-1.1000000000000001E-3</v>
      </c>
      <c r="H17" s="9" t="str">
        <f t="shared" si="0"/>
        <v>**</v>
      </c>
      <c r="I17" s="9">
        <v>-1.8E-3</v>
      </c>
      <c r="J17" s="9" t="str">
        <f t="shared" si="0"/>
        <v>***</v>
      </c>
      <c r="K17" s="9"/>
      <c r="L17" s="9" t="str">
        <f t="shared" si="0"/>
        <v>***</v>
      </c>
      <c r="M17" s="9"/>
      <c r="N17" s="9" t="str">
        <f t="shared" si="2"/>
        <v>***</v>
      </c>
      <c r="O17" s="9">
        <v>-4.0000000000000002E-4</v>
      </c>
      <c r="P17" s="9" t="str">
        <f t="shared" si="2"/>
        <v/>
      </c>
      <c r="Q17" s="9">
        <v>-1.1000000000000001E-3</v>
      </c>
      <c r="R17" s="9" t="str">
        <f t="shared" si="2"/>
        <v/>
      </c>
      <c r="S17" s="9">
        <v>4.5999999999999999E-3</v>
      </c>
      <c r="T17" s="9" t="str">
        <f t="shared" si="2"/>
        <v>***</v>
      </c>
      <c r="U17" s="9">
        <v>1.1000000000000001E-3</v>
      </c>
      <c r="V17" s="9" t="str">
        <f t="shared" si="2"/>
        <v/>
      </c>
      <c r="W17" s="9">
        <v>-4.0000000000000002E-4</v>
      </c>
      <c r="X17" s="9" t="str">
        <f t="shared" si="2"/>
        <v/>
      </c>
      <c r="Y17" s="9">
        <v>-1E-3</v>
      </c>
      <c r="Z17" s="9" t="str">
        <f t="shared" si="1"/>
        <v>**</v>
      </c>
      <c r="AA17" s="9"/>
      <c r="AB17" s="9" t="str">
        <f t="shared" si="1"/>
        <v>***</v>
      </c>
      <c r="AC17" s="9"/>
      <c r="AD17" s="9" t="str">
        <f t="shared" si="1"/>
        <v>***</v>
      </c>
    </row>
    <row r="18" spans="1:30" x14ac:dyDescent="0.25">
      <c r="B18" s="9">
        <v>1E-3</v>
      </c>
      <c r="C18" s="9" t="str">
        <f t="shared" si="0"/>
        <v/>
      </c>
      <c r="D18" s="9" t="str">
        <f>+CONCATENATE("(",ROUND(B18,3),")")</f>
        <v>(0,001)</v>
      </c>
      <c r="E18" s="9">
        <v>1E-3</v>
      </c>
      <c r="F18" s="9" t="str">
        <f t="shared" si="0"/>
        <v/>
      </c>
      <c r="G18" s="9">
        <v>0</v>
      </c>
      <c r="H18" s="9" t="str">
        <f t="shared" si="0"/>
        <v/>
      </c>
      <c r="I18" s="9">
        <v>0</v>
      </c>
      <c r="J18" s="9" t="str">
        <f t="shared" si="0"/>
        <v/>
      </c>
      <c r="K18" s="9"/>
      <c r="L18" s="9" t="str">
        <f t="shared" si="0"/>
        <v/>
      </c>
      <c r="M18" s="9"/>
      <c r="N18" s="9" t="str">
        <f t="shared" si="2"/>
        <v/>
      </c>
      <c r="O18" s="9">
        <v>2E-3</v>
      </c>
      <c r="P18" s="9" t="str">
        <f t="shared" si="2"/>
        <v/>
      </c>
      <c r="Q18" s="9">
        <v>1E-3</v>
      </c>
      <c r="R18" s="9" t="str">
        <f t="shared" si="2"/>
        <v/>
      </c>
      <c r="S18" s="9">
        <v>2E-3</v>
      </c>
      <c r="T18" s="9" t="str">
        <f t="shared" si="2"/>
        <v/>
      </c>
      <c r="U18" s="9">
        <v>2E-3</v>
      </c>
      <c r="V18" s="9" t="str">
        <f t="shared" si="2"/>
        <v/>
      </c>
      <c r="W18" s="9">
        <v>0</v>
      </c>
      <c r="X18" s="9" t="str">
        <f t="shared" si="2"/>
        <v/>
      </c>
      <c r="Y18" s="9">
        <v>0</v>
      </c>
      <c r="Z18" s="9" t="str">
        <f t="shared" si="1"/>
        <v/>
      </c>
      <c r="AA18" s="9"/>
      <c r="AB18" s="9" t="str">
        <f t="shared" si="1"/>
        <v/>
      </c>
      <c r="AC18" s="9"/>
      <c r="AD18" s="9" t="str">
        <f t="shared" si="1"/>
        <v/>
      </c>
    </row>
    <row r="19" spans="1:30" x14ac:dyDescent="0.25">
      <c r="B19" s="9">
        <v>2.5999999999999999E-2</v>
      </c>
      <c r="C19" s="9" t="str">
        <f t="shared" si="0"/>
        <v/>
      </c>
      <c r="D19" s="9"/>
      <c r="E19" s="9">
        <v>0</v>
      </c>
      <c r="F19" s="9" t="str">
        <f t="shared" si="0"/>
        <v/>
      </c>
      <c r="G19" s="9">
        <v>2.4E-2</v>
      </c>
      <c r="H19" s="9" t="str">
        <f t="shared" si="0"/>
        <v/>
      </c>
      <c r="I19" s="9">
        <v>0</v>
      </c>
      <c r="J19" s="9" t="str">
        <f t="shared" si="0"/>
        <v/>
      </c>
      <c r="K19" s="9"/>
      <c r="L19" s="9" t="str">
        <f t="shared" si="0"/>
        <v/>
      </c>
      <c r="M19" s="9"/>
      <c r="N19" s="9" t="str">
        <f t="shared" si="2"/>
        <v/>
      </c>
      <c r="O19" s="9">
        <v>0.76900000000000002</v>
      </c>
      <c r="P19" s="9" t="str">
        <f t="shared" si="2"/>
        <v/>
      </c>
      <c r="Q19" s="9">
        <v>0.42499999999999999</v>
      </c>
      <c r="R19" s="9" t="str">
        <f t="shared" si="2"/>
        <v/>
      </c>
      <c r="S19" s="9">
        <v>4.0000000000000001E-3</v>
      </c>
      <c r="T19" s="9" t="str">
        <f t="shared" si="2"/>
        <v/>
      </c>
      <c r="U19" s="9">
        <v>0.503</v>
      </c>
      <c r="V19" s="9" t="str">
        <f t="shared" si="2"/>
        <v/>
      </c>
      <c r="W19" s="9">
        <v>0.30599999999999999</v>
      </c>
      <c r="X19" s="9" t="str">
        <f t="shared" si="2"/>
        <v/>
      </c>
      <c r="Y19" s="9">
        <v>1.4E-2</v>
      </c>
      <c r="Z19" s="9" t="str">
        <f t="shared" si="1"/>
        <v/>
      </c>
      <c r="AA19" s="9"/>
      <c r="AB19" s="9" t="str">
        <f t="shared" si="1"/>
        <v/>
      </c>
      <c r="AC19" s="9"/>
      <c r="AD19" s="9" t="str">
        <f t="shared" si="1"/>
        <v/>
      </c>
    </row>
    <row r="20" spans="1:30" x14ac:dyDescent="0.25">
      <c r="A20" t="s">
        <v>35</v>
      </c>
      <c r="B20" s="9">
        <v>-5.11E-2</v>
      </c>
      <c r="C20" s="9" t="str">
        <f t="shared" si="0"/>
        <v/>
      </c>
      <c r="D20" s="9" t="str">
        <f>+CONCATENATE(ROUND(B20,3), " ",C20)</f>
        <v xml:space="preserve">-0,051 </v>
      </c>
      <c r="E20" s="9">
        <v>-7.4399999999999994E-2</v>
      </c>
      <c r="F20" s="9" t="str">
        <f t="shared" si="0"/>
        <v>*</v>
      </c>
      <c r="G20" s="9"/>
      <c r="H20" s="9" t="str">
        <f t="shared" si="0"/>
        <v>***</v>
      </c>
      <c r="I20" s="9"/>
      <c r="J20" s="9" t="str">
        <f t="shared" si="0"/>
        <v>***</v>
      </c>
      <c r="K20" s="9">
        <v>-7.8399999999999997E-2</v>
      </c>
      <c r="L20" s="9" t="str">
        <f t="shared" si="0"/>
        <v/>
      </c>
      <c r="M20" s="9">
        <v>-8.6199999999999999E-2</v>
      </c>
      <c r="N20" s="9" t="str">
        <f t="shared" si="2"/>
        <v>*</v>
      </c>
      <c r="O20" s="9">
        <v>-0.16159999999999999</v>
      </c>
      <c r="P20" s="9" t="str">
        <f t="shared" si="2"/>
        <v/>
      </c>
      <c r="Q20" s="9">
        <v>-0.18090000000000001</v>
      </c>
      <c r="R20" s="9" t="str">
        <f t="shared" si="2"/>
        <v/>
      </c>
      <c r="S20" s="9">
        <v>0.1159</v>
      </c>
      <c r="T20" s="9" t="str">
        <f t="shared" si="2"/>
        <v/>
      </c>
      <c r="U20" s="9">
        <v>1.6799999999999999E-2</v>
      </c>
      <c r="V20" s="9" t="str">
        <f t="shared" si="2"/>
        <v/>
      </c>
      <c r="W20" s="9"/>
      <c r="X20" s="9" t="str">
        <f t="shared" si="2"/>
        <v>***</v>
      </c>
      <c r="Y20" s="9"/>
      <c r="Z20" s="9" t="str">
        <f t="shared" si="1"/>
        <v>***</v>
      </c>
      <c r="AA20" s="9">
        <v>-9.0300000000000005E-2</v>
      </c>
      <c r="AB20" s="9" t="str">
        <f t="shared" si="1"/>
        <v>*</v>
      </c>
      <c r="AC20" s="9">
        <v>-8.5000000000000006E-2</v>
      </c>
      <c r="AD20" s="9" t="str">
        <f t="shared" si="1"/>
        <v>*</v>
      </c>
    </row>
    <row r="21" spans="1:30" x14ac:dyDescent="0.25">
      <c r="B21" s="9">
        <v>4.9000000000000002E-2</v>
      </c>
      <c r="C21" s="9" t="str">
        <f t="shared" si="0"/>
        <v/>
      </c>
      <c r="D21" s="9" t="str">
        <f>+CONCATENATE("(",ROUND(B21,3),")")</f>
        <v>(0,049)</v>
      </c>
      <c r="E21" s="9">
        <v>4.4999999999999998E-2</v>
      </c>
      <c r="F21" s="9" t="str">
        <f t="shared" si="0"/>
        <v/>
      </c>
      <c r="G21" s="9"/>
      <c r="H21" s="9" t="str">
        <f t="shared" si="0"/>
        <v/>
      </c>
      <c r="I21" s="9"/>
      <c r="J21" s="9" t="str">
        <f t="shared" si="0"/>
        <v/>
      </c>
      <c r="K21" s="9">
        <v>0.05</v>
      </c>
      <c r="L21" s="9" t="str">
        <f t="shared" si="0"/>
        <v/>
      </c>
      <c r="M21" s="9">
        <v>4.5999999999999999E-2</v>
      </c>
      <c r="N21" s="9" t="str">
        <f t="shared" si="2"/>
        <v/>
      </c>
      <c r="O21" s="9">
        <v>0.155</v>
      </c>
      <c r="P21" s="9" t="str">
        <f t="shared" si="2"/>
        <v/>
      </c>
      <c r="Q21" s="9">
        <v>0.13200000000000001</v>
      </c>
      <c r="R21" s="9" t="str">
        <f t="shared" si="2"/>
        <v/>
      </c>
      <c r="S21" s="9">
        <v>0.154</v>
      </c>
      <c r="T21" s="9" t="str">
        <f t="shared" si="2"/>
        <v/>
      </c>
      <c r="U21" s="9">
        <v>0.14000000000000001</v>
      </c>
      <c r="V21" s="9" t="str">
        <f t="shared" si="2"/>
        <v/>
      </c>
      <c r="W21" s="9"/>
      <c r="X21" s="9" t="str">
        <f t="shared" si="2"/>
        <v/>
      </c>
      <c r="Y21" s="9"/>
      <c r="Z21" s="9" t="str">
        <f t="shared" si="1"/>
        <v/>
      </c>
      <c r="AA21" s="9">
        <v>0.05</v>
      </c>
      <c r="AB21" s="9" t="str">
        <f t="shared" si="1"/>
        <v/>
      </c>
      <c r="AC21" s="9">
        <v>4.4999999999999998E-2</v>
      </c>
      <c r="AD21" s="9" t="str">
        <f t="shared" si="1"/>
        <v/>
      </c>
    </row>
    <row r="22" spans="1:30" x14ac:dyDescent="0.25">
      <c r="B22" s="9">
        <v>0.29899999999999999</v>
      </c>
      <c r="C22" s="9" t="str">
        <f t="shared" si="0"/>
        <v/>
      </c>
      <c r="D22" s="9"/>
      <c r="E22" s="9">
        <v>9.7000000000000003E-2</v>
      </c>
      <c r="F22" s="9" t="str">
        <f t="shared" si="0"/>
        <v/>
      </c>
      <c r="G22" s="9"/>
      <c r="H22" s="9" t="str">
        <f t="shared" si="0"/>
        <v/>
      </c>
      <c r="I22" s="9"/>
      <c r="J22" s="9" t="str">
        <f t="shared" si="0"/>
        <v/>
      </c>
      <c r="K22" s="9">
        <v>0.11799999999999999</v>
      </c>
      <c r="L22" s="9" t="str">
        <f t="shared" si="0"/>
        <v/>
      </c>
      <c r="M22" s="9">
        <v>6.2E-2</v>
      </c>
      <c r="N22" s="9" t="str">
        <f t="shared" si="2"/>
        <v/>
      </c>
      <c r="O22" s="9">
        <v>0.29699999999999999</v>
      </c>
      <c r="P22" s="9" t="str">
        <f t="shared" si="2"/>
        <v/>
      </c>
      <c r="Q22" s="9">
        <v>0.17100000000000001</v>
      </c>
      <c r="R22" s="9" t="str">
        <f t="shared" si="2"/>
        <v/>
      </c>
      <c r="S22" s="9">
        <v>0.45100000000000001</v>
      </c>
      <c r="T22" s="9" t="str">
        <f t="shared" si="2"/>
        <v/>
      </c>
      <c r="U22" s="9">
        <v>0.90500000000000003</v>
      </c>
      <c r="V22" s="9" t="str">
        <f t="shared" si="2"/>
        <v/>
      </c>
      <c r="W22" s="9"/>
      <c r="X22" s="9" t="str">
        <f t="shared" si="2"/>
        <v/>
      </c>
      <c r="Y22" s="9"/>
      <c r="Z22" s="9" t="str">
        <f t="shared" si="1"/>
        <v/>
      </c>
      <c r="AA22" s="9">
        <v>6.9000000000000006E-2</v>
      </c>
      <c r="AB22" s="9" t="str">
        <f t="shared" si="1"/>
        <v/>
      </c>
      <c r="AC22" s="9">
        <v>6.2E-2</v>
      </c>
      <c r="AD22" s="9" t="str">
        <f t="shared" si="1"/>
        <v/>
      </c>
    </row>
    <row r="23" spans="1:30" x14ac:dyDescent="0.25">
      <c r="A23" t="s">
        <v>36</v>
      </c>
      <c r="B23" s="9">
        <v>1.9150000000000001E-5</v>
      </c>
      <c r="C23" s="9" t="str">
        <f t="shared" si="0"/>
        <v>*</v>
      </c>
      <c r="D23" s="9" t="str">
        <f>+CONCATENATE(ROUND(B23,3), " ",C23)</f>
        <v>0 *</v>
      </c>
      <c r="E23" s="9">
        <v>1.473E-5</v>
      </c>
      <c r="F23" s="9" t="str">
        <f t="shared" si="0"/>
        <v/>
      </c>
      <c r="G23" s="9"/>
      <c r="H23" s="9" t="str">
        <f t="shared" si="0"/>
        <v>***</v>
      </c>
      <c r="I23" s="9"/>
      <c r="J23" s="9" t="str">
        <f t="shared" si="0"/>
        <v>***</v>
      </c>
      <c r="K23" s="9"/>
      <c r="L23" s="9" t="str">
        <f t="shared" si="0"/>
        <v>***</v>
      </c>
      <c r="M23" s="9"/>
      <c r="N23" s="9" t="str">
        <f t="shared" si="2"/>
        <v>***</v>
      </c>
      <c r="O23" s="9"/>
      <c r="P23" s="9" t="str">
        <f t="shared" si="2"/>
        <v>***</v>
      </c>
      <c r="Q23" s="9"/>
      <c r="R23" s="9" t="str">
        <f t="shared" si="2"/>
        <v>***</v>
      </c>
      <c r="S23" s="9"/>
      <c r="T23" s="9" t="str">
        <f t="shared" si="2"/>
        <v>***</v>
      </c>
      <c r="U23" s="9"/>
      <c r="V23" s="9" t="str">
        <f t="shared" si="2"/>
        <v>***</v>
      </c>
      <c r="W23" s="9"/>
      <c r="X23" s="9" t="str">
        <f t="shared" si="2"/>
        <v>***</v>
      </c>
      <c r="Y23" s="9"/>
      <c r="Z23" s="9" t="str">
        <f t="shared" si="1"/>
        <v>***</v>
      </c>
      <c r="AA23" s="9">
        <v>1.508E-5</v>
      </c>
      <c r="AB23" s="9" t="str">
        <f t="shared" si="1"/>
        <v/>
      </c>
      <c r="AC23" s="9">
        <v>1.571E-5</v>
      </c>
      <c r="AD23" s="9" t="str">
        <f t="shared" si="1"/>
        <v/>
      </c>
    </row>
    <row r="24" spans="1:30" x14ac:dyDescent="0.25">
      <c r="B24" s="9">
        <v>1.0499999999999999E-5</v>
      </c>
      <c r="C24" s="9" t="str">
        <f t="shared" si="0"/>
        <v/>
      </c>
      <c r="D24" s="9" t="str">
        <f>+CONCATENATE("(",ROUND(B24,3),")")</f>
        <v>(0)</v>
      </c>
      <c r="E24" s="9">
        <v>9.6299999999999993E-6</v>
      </c>
      <c r="F24" s="9" t="str">
        <f t="shared" si="0"/>
        <v/>
      </c>
      <c r="G24" s="9"/>
      <c r="H24" s="9" t="str">
        <f t="shared" si="0"/>
        <v/>
      </c>
      <c r="I24" s="9"/>
      <c r="J24" s="9" t="str">
        <f t="shared" si="0"/>
        <v/>
      </c>
      <c r="K24" s="9"/>
      <c r="L24" s="9" t="str">
        <f t="shared" si="0"/>
        <v/>
      </c>
      <c r="M24" s="9"/>
      <c r="N24" s="9" t="str">
        <f t="shared" si="2"/>
        <v/>
      </c>
      <c r="O24" s="9"/>
      <c r="P24" s="9" t="str">
        <f t="shared" si="2"/>
        <v/>
      </c>
      <c r="Q24" s="9"/>
      <c r="R24" s="9" t="str">
        <f t="shared" si="2"/>
        <v/>
      </c>
      <c r="S24" s="9"/>
      <c r="T24" s="9" t="str">
        <f t="shared" si="2"/>
        <v/>
      </c>
      <c r="U24" s="9"/>
      <c r="V24" s="9" t="str">
        <f t="shared" si="2"/>
        <v/>
      </c>
      <c r="W24" s="9"/>
      <c r="X24" s="9" t="str">
        <f t="shared" si="2"/>
        <v/>
      </c>
      <c r="Y24" s="9"/>
      <c r="Z24" s="9" t="str">
        <f t="shared" si="1"/>
        <v/>
      </c>
      <c r="AA24" s="9">
        <v>1.0499999999999999E-5</v>
      </c>
      <c r="AB24" s="9" t="str">
        <f t="shared" si="1"/>
        <v/>
      </c>
      <c r="AC24" s="9">
        <v>9.7399999999999999E-6</v>
      </c>
      <c r="AD24" s="9" t="str">
        <f t="shared" si="1"/>
        <v/>
      </c>
    </row>
    <row r="25" spans="1:30" x14ac:dyDescent="0.25">
      <c r="B25" s="9">
        <v>7.0000000000000007E-2</v>
      </c>
      <c r="C25" s="9" t="str">
        <f t="shared" si="0"/>
        <v/>
      </c>
      <c r="D25" s="9"/>
      <c r="E25" s="9">
        <v>0.127</v>
      </c>
      <c r="F25" s="9" t="str">
        <f t="shared" si="0"/>
        <v/>
      </c>
      <c r="G25" s="9"/>
      <c r="H25" s="9" t="str">
        <f t="shared" si="0"/>
        <v/>
      </c>
      <c r="I25" s="9"/>
      <c r="J25" s="9" t="str">
        <f t="shared" si="0"/>
        <v/>
      </c>
      <c r="K25" s="9"/>
      <c r="L25" s="9" t="str">
        <f t="shared" si="0"/>
        <v/>
      </c>
      <c r="M25" s="9"/>
      <c r="N25" s="9" t="str">
        <f t="shared" si="2"/>
        <v/>
      </c>
      <c r="O25" s="9"/>
      <c r="P25" s="9" t="str">
        <f t="shared" si="2"/>
        <v/>
      </c>
      <c r="Q25" s="9"/>
      <c r="R25" s="9" t="str">
        <f t="shared" si="2"/>
        <v/>
      </c>
      <c r="S25" s="9"/>
      <c r="T25" s="9" t="str">
        <f t="shared" si="2"/>
        <v/>
      </c>
      <c r="U25" s="9"/>
      <c r="V25" s="9" t="str">
        <f t="shared" si="2"/>
        <v/>
      </c>
      <c r="W25" s="9"/>
      <c r="X25" s="9" t="str">
        <f t="shared" si="2"/>
        <v/>
      </c>
      <c r="Y25" s="9"/>
      <c r="Z25" s="9" t="str">
        <f t="shared" si="1"/>
        <v/>
      </c>
      <c r="AA25" s="9">
        <v>0.154</v>
      </c>
      <c r="AB25" s="9" t="str">
        <f t="shared" si="1"/>
        <v/>
      </c>
      <c r="AC25" s="9">
        <v>0.107</v>
      </c>
      <c r="AD25" s="9" t="str">
        <f t="shared" si="1"/>
        <v/>
      </c>
    </row>
    <row r="26" spans="1:30" x14ac:dyDescent="0.25">
      <c r="A26" t="s">
        <v>37</v>
      </c>
      <c r="B26" s="9">
        <v>7.4079999999999999E-8</v>
      </c>
      <c r="C26" s="9" t="str">
        <f t="shared" si="0"/>
        <v>*</v>
      </c>
      <c r="D26" s="9" t="str">
        <f>+CONCATENATE(ROUND(B26,3), " ",C26)</f>
        <v>0 *</v>
      </c>
      <c r="E26" s="9">
        <v>8.8979999999999993E-8</v>
      </c>
      <c r="F26" s="9" t="str">
        <f t="shared" si="0"/>
        <v>**</v>
      </c>
      <c r="G26" s="9">
        <v>7.0539999999999995E-8</v>
      </c>
      <c r="H26" s="9" t="str">
        <f t="shared" si="0"/>
        <v>*</v>
      </c>
      <c r="I26" s="9">
        <v>1.031E-7</v>
      </c>
      <c r="J26" s="9" t="str">
        <f t="shared" si="0"/>
        <v>***</v>
      </c>
      <c r="K26" s="9"/>
      <c r="L26" s="9" t="str">
        <f t="shared" si="0"/>
        <v>***</v>
      </c>
      <c r="M26" s="9"/>
      <c r="N26" s="9" t="str">
        <f t="shared" si="2"/>
        <v>***</v>
      </c>
      <c r="O26" s="9"/>
      <c r="P26" s="9" t="str">
        <f t="shared" si="2"/>
        <v>***</v>
      </c>
      <c r="Q26" s="9"/>
      <c r="R26" s="9" t="str">
        <f t="shared" si="2"/>
        <v>***</v>
      </c>
      <c r="S26" s="9">
        <v>-5.7000000000000005E-7</v>
      </c>
      <c r="T26" s="9" t="str">
        <f t="shared" si="2"/>
        <v>***</v>
      </c>
      <c r="U26" s="9">
        <v>-5.1989999999999999E-7</v>
      </c>
      <c r="V26" s="9" t="str">
        <f t="shared" si="2"/>
        <v>***</v>
      </c>
      <c r="W26" s="9"/>
      <c r="X26" s="9" t="str">
        <f t="shared" si="2"/>
        <v>***</v>
      </c>
      <c r="Y26" s="9"/>
      <c r="Z26" s="9" t="str">
        <f t="shared" si="1"/>
        <v>***</v>
      </c>
      <c r="AA26" s="9"/>
      <c r="AB26" s="9" t="str">
        <f t="shared" si="1"/>
        <v>***</v>
      </c>
      <c r="AC26" s="9"/>
      <c r="AD26" s="9" t="str">
        <f t="shared" si="1"/>
        <v>***</v>
      </c>
    </row>
    <row r="27" spans="1:30" x14ac:dyDescent="0.25">
      <c r="B27" s="9">
        <v>4.0499999999999999E-8</v>
      </c>
      <c r="C27" s="9" t="str">
        <f t="shared" si="0"/>
        <v/>
      </c>
      <c r="D27" s="9" t="str">
        <f>+CONCATENATE("(",ROUND(B27,3),")")</f>
        <v>(0)</v>
      </c>
      <c r="E27" s="9">
        <v>3.6400000000000002E-8</v>
      </c>
      <c r="F27" s="9" t="str">
        <f t="shared" si="0"/>
        <v/>
      </c>
      <c r="G27" s="9">
        <v>4.06E-8</v>
      </c>
      <c r="H27" s="9" t="str">
        <f t="shared" si="0"/>
        <v/>
      </c>
      <c r="I27" s="9">
        <v>3.62E-8</v>
      </c>
      <c r="J27" s="9" t="str">
        <f t="shared" si="0"/>
        <v/>
      </c>
      <c r="K27" s="9"/>
      <c r="L27" s="9" t="str">
        <f t="shared" si="0"/>
        <v/>
      </c>
      <c r="M27" s="9"/>
      <c r="N27" s="9" t="str">
        <f t="shared" si="2"/>
        <v/>
      </c>
      <c r="O27" s="9"/>
      <c r="P27" s="9" t="str">
        <f t="shared" si="2"/>
        <v/>
      </c>
      <c r="Q27" s="9"/>
      <c r="R27" s="9" t="str">
        <f t="shared" si="2"/>
        <v/>
      </c>
      <c r="S27" s="9">
        <v>1.23E-7</v>
      </c>
      <c r="T27" s="9" t="str">
        <f t="shared" si="2"/>
        <v/>
      </c>
      <c r="U27" s="9">
        <v>1.1000000000000001E-7</v>
      </c>
      <c r="V27" s="9" t="str">
        <f t="shared" si="2"/>
        <v/>
      </c>
      <c r="W27" s="9"/>
      <c r="X27" s="9" t="str">
        <f t="shared" si="2"/>
        <v/>
      </c>
      <c r="Y27" s="9"/>
      <c r="Z27" s="9" t="str">
        <f t="shared" si="1"/>
        <v/>
      </c>
      <c r="AA27" s="9"/>
      <c r="AB27" s="9" t="str">
        <f t="shared" si="1"/>
        <v/>
      </c>
      <c r="AC27" s="9"/>
      <c r="AD27" s="9" t="str">
        <f t="shared" si="1"/>
        <v/>
      </c>
    </row>
    <row r="28" spans="1:30" x14ac:dyDescent="0.25">
      <c r="B28" s="9">
        <v>6.8000000000000005E-2</v>
      </c>
      <c r="C28" s="9" t="str">
        <f t="shared" si="0"/>
        <v/>
      </c>
      <c r="D28" s="9"/>
      <c r="E28" s="9">
        <v>1.4999999999999999E-2</v>
      </c>
      <c r="F28" s="9" t="str">
        <f t="shared" si="0"/>
        <v/>
      </c>
      <c r="G28" s="9">
        <v>8.3000000000000004E-2</v>
      </c>
      <c r="H28" s="9" t="str">
        <f t="shared" si="0"/>
        <v/>
      </c>
      <c r="I28" s="9">
        <v>5.0000000000000001E-3</v>
      </c>
      <c r="J28" s="9" t="str">
        <f t="shared" si="0"/>
        <v/>
      </c>
      <c r="K28" s="9"/>
      <c r="L28" s="9" t="str">
        <f t="shared" si="0"/>
        <v/>
      </c>
      <c r="M28" s="9"/>
      <c r="N28" s="9" t="str">
        <f t="shared" si="2"/>
        <v/>
      </c>
      <c r="O28" s="9"/>
      <c r="P28" s="9" t="str">
        <f t="shared" si="2"/>
        <v/>
      </c>
      <c r="Q28" s="9"/>
      <c r="R28" s="9" t="str">
        <f t="shared" si="2"/>
        <v/>
      </c>
      <c r="S28" s="9">
        <v>0</v>
      </c>
      <c r="T28" s="9" t="str">
        <f t="shared" si="2"/>
        <v/>
      </c>
      <c r="U28" s="9">
        <v>0</v>
      </c>
      <c r="V28" s="9" t="str">
        <f t="shared" si="2"/>
        <v/>
      </c>
      <c r="W28" s="9"/>
      <c r="X28" s="9" t="str">
        <f t="shared" si="2"/>
        <v/>
      </c>
      <c r="Y28" s="9"/>
      <c r="Z28" s="9" t="str">
        <f t="shared" si="1"/>
        <v/>
      </c>
      <c r="AA28" s="9"/>
      <c r="AB28" s="9" t="str">
        <f t="shared" si="1"/>
        <v/>
      </c>
      <c r="AC28" s="9"/>
      <c r="AD28" s="9" t="str">
        <f t="shared" si="1"/>
        <v/>
      </c>
    </row>
    <row r="29" spans="1:30" x14ac:dyDescent="0.25">
      <c r="A29" t="s">
        <v>38</v>
      </c>
      <c r="B29" s="9">
        <v>0.22770000000000001</v>
      </c>
      <c r="C29" s="9" t="str">
        <f t="shared" si="0"/>
        <v>***</v>
      </c>
      <c r="D29" s="9" t="str">
        <f>+CONCATENATE(ROUND(B29,3), " ",C29)</f>
        <v>0,228 ***</v>
      </c>
      <c r="E29" s="9">
        <v>0.2545</v>
      </c>
      <c r="F29" s="9" t="str">
        <f t="shared" si="0"/>
        <v>***</v>
      </c>
      <c r="G29" s="9"/>
      <c r="H29" s="9" t="str">
        <f t="shared" si="0"/>
        <v>***</v>
      </c>
      <c r="I29" s="9"/>
      <c r="J29" s="9" t="str">
        <f t="shared" si="0"/>
        <v>***</v>
      </c>
      <c r="K29" s="9"/>
      <c r="L29" s="9" t="str">
        <f t="shared" si="0"/>
        <v>***</v>
      </c>
      <c r="M29" s="9"/>
      <c r="N29" s="9" t="str">
        <f t="shared" si="2"/>
        <v>***</v>
      </c>
      <c r="O29" s="9">
        <v>2.3900000000000001E-2</v>
      </c>
      <c r="P29" s="9" t="str">
        <f t="shared" si="2"/>
        <v/>
      </c>
      <c r="Q29" s="9">
        <v>-0.13100000000000001</v>
      </c>
      <c r="R29" s="9" t="str">
        <f t="shared" si="2"/>
        <v/>
      </c>
      <c r="S29" s="9">
        <v>0.7893</v>
      </c>
      <c r="T29" s="9" t="str">
        <f t="shared" si="2"/>
        <v>***</v>
      </c>
      <c r="U29" s="9">
        <v>0.871</v>
      </c>
      <c r="V29" s="9" t="str">
        <f t="shared" si="2"/>
        <v>***</v>
      </c>
      <c r="W29" s="9">
        <v>0.23330000000000001</v>
      </c>
      <c r="X29" s="9" t="str">
        <f t="shared" si="2"/>
        <v>***</v>
      </c>
      <c r="Y29" s="9">
        <v>0.26939999999999997</v>
      </c>
      <c r="Z29" s="9" t="str">
        <f t="shared" si="1"/>
        <v>***</v>
      </c>
      <c r="AA29" s="9"/>
      <c r="AB29" s="9" t="str">
        <f t="shared" si="1"/>
        <v>***</v>
      </c>
      <c r="AC29" s="9"/>
      <c r="AD29" s="9" t="str">
        <f t="shared" si="1"/>
        <v>***</v>
      </c>
    </row>
    <row r="30" spans="1:30" x14ac:dyDescent="0.25">
      <c r="B30" s="9">
        <v>6.5000000000000002E-2</v>
      </c>
      <c r="C30" s="9" t="str">
        <f t="shared" si="0"/>
        <v/>
      </c>
      <c r="D30" s="9" t="str">
        <f>+CONCATENATE("(",ROUND(B30,3),")")</f>
        <v>(0,065)</v>
      </c>
      <c r="E30" s="9">
        <v>7.0000000000000007E-2</v>
      </c>
      <c r="F30" s="9" t="str">
        <f t="shared" si="0"/>
        <v/>
      </c>
      <c r="G30" s="9"/>
      <c r="H30" s="9" t="str">
        <f t="shared" si="0"/>
        <v/>
      </c>
      <c r="I30" s="9"/>
      <c r="J30" s="9" t="str">
        <f t="shared" si="0"/>
        <v/>
      </c>
      <c r="K30" s="9"/>
      <c r="L30" s="9" t="str">
        <f t="shared" si="0"/>
        <v/>
      </c>
      <c r="M30" s="9"/>
      <c r="N30" s="9" t="str">
        <f t="shared" si="2"/>
        <v/>
      </c>
      <c r="O30" s="9">
        <v>0.192</v>
      </c>
      <c r="P30" s="9" t="str">
        <f t="shared" si="2"/>
        <v/>
      </c>
      <c r="Q30" s="9">
        <v>0.19700000000000001</v>
      </c>
      <c r="R30" s="9" t="str">
        <f t="shared" si="2"/>
        <v/>
      </c>
      <c r="S30" s="9">
        <v>3.5000000000000003E-2</v>
      </c>
      <c r="T30" s="9" t="str">
        <f t="shared" si="2"/>
        <v/>
      </c>
      <c r="U30" s="9">
        <v>4.4999999999999998E-2</v>
      </c>
      <c r="V30" s="9" t="str">
        <f t="shared" si="2"/>
        <v/>
      </c>
      <c r="W30" s="9">
        <v>6.6000000000000003E-2</v>
      </c>
      <c r="X30" s="9" t="str">
        <f t="shared" si="2"/>
        <v/>
      </c>
      <c r="Y30" s="9">
        <v>7.0999999999999994E-2</v>
      </c>
      <c r="Z30" s="9" t="str">
        <f t="shared" si="1"/>
        <v/>
      </c>
      <c r="AA30" s="9"/>
      <c r="AB30" s="9" t="str">
        <f t="shared" si="1"/>
        <v/>
      </c>
      <c r="AC30" s="9"/>
      <c r="AD30" s="9" t="str">
        <f t="shared" si="1"/>
        <v/>
      </c>
    </row>
    <row r="31" spans="1:30" x14ac:dyDescent="0.25">
      <c r="B31" s="9">
        <v>1E-3</v>
      </c>
      <c r="C31" s="9" t="str">
        <f t="shared" si="0"/>
        <v/>
      </c>
      <c r="D31" s="9"/>
      <c r="E31" s="9">
        <v>0</v>
      </c>
      <c r="F31" s="9" t="str">
        <f t="shared" si="0"/>
        <v/>
      </c>
      <c r="G31" s="9"/>
      <c r="H31" s="9" t="str">
        <f t="shared" si="0"/>
        <v/>
      </c>
      <c r="I31" s="9"/>
      <c r="J31" s="9" t="str">
        <f t="shared" si="0"/>
        <v/>
      </c>
      <c r="K31" s="9"/>
      <c r="L31" s="9" t="str">
        <f t="shared" si="0"/>
        <v/>
      </c>
      <c r="M31" s="9"/>
      <c r="N31" s="9" t="str">
        <f t="shared" si="2"/>
        <v/>
      </c>
      <c r="O31" s="9">
        <v>0.90100000000000002</v>
      </c>
      <c r="P31" s="9" t="str">
        <f t="shared" si="2"/>
        <v/>
      </c>
      <c r="Q31" s="9">
        <v>0.50700000000000001</v>
      </c>
      <c r="R31" s="9" t="str">
        <f t="shared" si="2"/>
        <v/>
      </c>
      <c r="S31" s="9">
        <v>0</v>
      </c>
      <c r="T31" s="9" t="str">
        <f t="shared" si="2"/>
        <v/>
      </c>
      <c r="U31" s="9">
        <v>0</v>
      </c>
      <c r="V31" s="9" t="str">
        <f t="shared" si="2"/>
        <v/>
      </c>
      <c r="W31" s="9">
        <v>0</v>
      </c>
      <c r="X31" s="9" t="str">
        <f t="shared" si="2"/>
        <v/>
      </c>
      <c r="Y31" s="9">
        <v>0</v>
      </c>
      <c r="Z31" s="9" t="str">
        <f t="shared" si="1"/>
        <v/>
      </c>
      <c r="AA31" s="9"/>
      <c r="AB31" s="9" t="str">
        <f t="shared" si="1"/>
        <v/>
      </c>
      <c r="AC31" s="9"/>
      <c r="AD31" s="9" t="str">
        <f t="shared" si="1"/>
        <v/>
      </c>
    </row>
    <row r="32" spans="1:30" x14ac:dyDescent="0.25">
      <c r="A32" t="s">
        <v>39</v>
      </c>
      <c r="B32" s="9">
        <v>5.804E-5</v>
      </c>
      <c r="C32" s="9" t="str">
        <f t="shared" si="0"/>
        <v/>
      </c>
      <c r="D32" s="9" t="str">
        <f>+CONCATENATE(ROUND(B32,3), " ",C32)</f>
        <v xml:space="preserve">0 </v>
      </c>
      <c r="E32" s="9">
        <v>5.9299999999999998E-5</v>
      </c>
      <c r="F32" s="9" t="str">
        <f t="shared" si="0"/>
        <v/>
      </c>
      <c r="G32" s="9"/>
      <c r="H32" s="9" t="str">
        <f t="shared" si="0"/>
        <v>***</v>
      </c>
      <c r="I32" s="9"/>
      <c r="J32" s="9" t="str">
        <f t="shared" si="0"/>
        <v>***</v>
      </c>
      <c r="K32" s="9">
        <v>7.1569999999999994E-5</v>
      </c>
      <c r="L32" s="9" t="str">
        <f t="shared" si="0"/>
        <v/>
      </c>
      <c r="M32" s="9">
        <v>6.1179999999999994E-5</v>
      </c>
      <c r="N32" s="9" t="str">
        <f t="shared" si="2"/>
        <v/>
      </c>
      <c r="O32" s="9">
        <v>2.9999999999999997E-4</v>
      </c>
      <c r="P32" s="9" t="str">
        <f t="shared" si="2"/>
        <v/>
      </c>
      <c r="Q32" s="9">
        <v>2.9999999999999997E-4</v>
      </c>
      <c r="R32" s="9" t="str">
        <f t="shared" si="2"/>
        <v/>
      </c>
      <c r="S32" s="9">
        <v>2.0000000000000001E-4</v>
      </c>
      <c r="T32" s="9" t="str">
        <f t="shared" si="2"/>
        <v/>
      </c>
      <c r="U32" s="9">
        <v>4.0000000000000002E-4</v>
      </c>
      <c r="V32" s="9" t="str">
        <f t="shared" si="2"/>
        <v/>
      </c>
      <c r="W32" s="9"/>
      <c r="X32" s="9" t="str">
        <f t="shared" si="2"/>
        <v>***</v>
      </c>
      <c r="Y32" s="9"/>
      <c r="Z32" s="9" t="str">
        <f t="shared" si="1"/>
        <v>***</v>
      </c>
      <c r="AA32" s="9">
        <v>7.6100000000000007E-5</v>
      </c>
      <c r="AB32" s="9" t="str">
        <f t="shared" si="1"/>
        <v/>
      </c>
      <c r="AC32" s="9">
        <v>6.1400000000000002E-5</v>
      </c>
      <c r="AD32" s="9" t="str">
        <f t="shared" si="1"/>
        <v/>
      </c>
    </row>
    <row r="33" spans="1:30" x14ac:dyDescent="0.25">
      <c r="B33" s="9">
        <v>0</v>
      </c>
      <c r="C33" s="9" t="str">
        <f t="shared" si="0"/>
        <v/>
      </c>
      <c r="D33" s="9" t="str">
        <f>+CONCATENATE("(",ROUND(B33,3),")")</f>
        <v>(0)</v>
      </c>
      <c r="E33" s="9">
        <v>9.2899999999999995E-5</v>
      </c>
      <c r="F33" s="9" t="str">
        <f t="shared" si="0"/>
        <v/>
      </c>
      <c r="G33" s="9"/>
      <c r="H33" s="9" t="str">
        <f t="shared" si="0"/>
        <v/>
      </c>
      <c r="I33" s="9"/>
      <c r="J33" s="9" t="str">
        <f t="shared" si="0"/>
        <v/>
      </c>
      <c r="K33" s="9">
        <v>0</v>
      </c>
      <c r="L33" s="9" t="str">
        <f t="shared" si="0"/>
        <v/>
      </c>
      <c r="M33" s="9">
        <v>9.6199999999999994E-5</v>
      </c>
      <c r="N33" s="9" t="str">
        <f t="shared" si="2"/>
        <v/>
      </c>
      <c r="O33" s="9">
        <v>0</v>
      </c>
      <c r="P33" s="9" t="str">
        <f t="shared" si="2"/>
        <v/>
      </c>
      <c r="Q33" s="9">
        <v>0</v>
      </c>
      <c r="R33" s="9" t="str">
        <f t="shared" si="2"/>
        <v/>
      </c>
      <c r="S33" s="9">
        <v>0</v>
      </c>
      <c r="T33" s="9" t="str">
        <f t="shared" si="2"/>
        <v/>
      </c>
      <c r="U33" s="9">
        <v>0</v>
      </c>
      <c r="V33" s="9" t="str">
        <f t="shared" si="2"/>
        <v/>
      </c>
      <c r="W33" s="9"/>
      <c r="X33" s="9" t="str">
        <f t="shared" si="2"/>
        <v/>
      </c>
      <c r="Y33" s="9"/>
      <c r="Z33" s="9" t="str">
        <f t="shared" si="1"/>
        <v/>
      </c>
      <c r="AA33" s="9">
        <v>0</v>
      </c>
      <c r="AB33" s="9" t="str">
        <f t="shared" si="1"/>
        <v/>
      </c>
      <c r="AC33" s="9">
        <v>9.6000000000000002E-5</v>
      </c>
      <c r="AD33" s="9" t="str">
        <f t="shared" si="1"/>
        <v/>
      </c>
    </row>
    <row r="34" spans="1:30" x14ac:dyDescent="0.25">
      <c r="B34" s="9">
        <v>0.57999999999999996</v>
      </c>
      <c r="C34" s="9" t="str">
        <f t="shared" si="0"/>
        <v/>
      </c>
      <c r="D34" s="9"/>
      <c r="E34" s="9">
        <v>0.52300000000000002</v>
      </c>
      <c r="F34" s="9" t="str">
        <f t="shared" si="0"/>
        <v/>
      </c>
      <c r="G34" s="9"/>
      <c r="H34" s="9" t="str">
        <f t="shared" si="0"/>
        <v/>
      </c>
      <c r="I34" s="9"/>
      <c r="J34" s="9" t="str">
        <f t="shared" si="0"/>
        <v/>
      </c>
      <c r="K34" s="9">
        <v>0.50600000000000001</v>
      </c>
      <c r="L34" s="9" t="str">
        <f t="shared" si="0"/>
        <v/>
      </c>
      <c r="M34" s="9">
        <v>0.52500000000000002</v>
      </c>
      <c r="N34" s="9" t="str">
        <f t="shared" si="2"/>
        <v/>
      </c>
      <c r="O34" s="9">
        <v>0.44500000000000001</v>
      </c>
      <c r="P34" s="9" t="str">
        <f t="shared" si="2"/>
        <v/>
      </c>
      <c r="Q34" s="9">
        <v>0.26900000000000002</v>
      </c>
      <c r="R34" s="9" t="str">
        <f t="shared" si="2"/>
        <v/>
      </c>
      <c r="S34" s="9">
        <v>0.46700000000000003</v>
      </c>
      <c r="T34" s="9" t="str">
        <f t="shared" si="2"/>
        <v/>
      </c>
      <c r="U34" s="9">
        <v>0.22700000000000001</v>
      </c>
      <c r="V34" s="9" t="str">
        <f t="shared" si="2"/>
        <v/>
      </c>
      <c r="W34" s="9"/>
      <c r="X34" s="9" t="str">
        <f t="shared" si="2"/>
        <v/>
      </c>
      <c r="Y34" s="9"/>
      <c r="Z34" s="9" t="str">
        <f t="shared" si="1"/>
        <v/>
      </c>
      <c r="AA34" s="9">
        <v>0.48</v>
      </c>
      <c r="AB34" s="9" t="str">
        <f t="shared" si="1"/>
        <v/>
      </c>
      <c r="AC34" s="9">
        <v>0.52300000000000002</v>
      </c>
      <c r="AD34" s="9" t="str">
        <f t="shared" si="1"/>
        <v/>
      </c>
    </row>
    <row r="35" spans="1:30" x14ac:dyDescent="0.25">
      <c r="A35" t="s">
        <v>40</v>
      </c>
      <c r="B35" s="9">
        <v>-8.0000000000000004E-4</v>
      </c>
      <c r="C35" s="9" t="str">
        <f t="shared" si="0"/>
        <v/>
      </c>
      <c r="D35" s="9" t="str">
        <f>+CONCATENATE(ROUND(B35,3), " ",C35)</f>
        <v xml:space="preserve">-0,001 </v>
      </c>
      <c r="E35" s="9">
        <v>-1.8E-3</v>
      </c>
      <c r="F35" s="9" t="str">
        <f t="shared" si="0"/>
        <v>**</v>
      </c>
      <c r="G35" s="9">
        <v>-8.9999999999999998E-4</v>
      </c>
      <c r="H35" s="9" t="str">
        <f t="shared" si="0"/>
        <v/>
      </c>
      <c r="I35" s="9">
        <v>-1.6000000000000001E-3</v>
      </c>
      <c r="J35" s="9" t="str">
        <f t="shared" si="0"/>
        <v>*</v>
      </c>
      <c r="K35" s="9">
        <v>-1.1999999999999999E-3</v>
      </c>
      <c r="L35" s="9" t="str">
        <f t="shared" si="0"/>
        <v/>
      </c>
      <c r="M35" s="9">
        <v>-1.4E-3</v>
      </c>
      <c r="N35" s="9" t="str">
        <f t="shared" si="2"/>
        <v/>
      </c>
      <c r="O35" s="9">
        <v>-5.5999999999999999E-3</v>
      </c>
      <c r="P35" s="9" t="str">
        <f t="shared" si="2"/>
        <v>*</v>
      </c>
      <c r="Q35" s="9">
        <v>-3.3999999999999998E-3</v>
      </c>
      <c r="R35" s="9" t="str">
        <f t="shared" si="2"/>
        <v/>
      </c>
      <c r="S35" s="9">
        <v>3.3999999999999998E-3</v>
      </c>
      <c r="T35" s="9" t="str">
        <f t="shared" si="2"/>
        <v/>
      </c>
      <c r="U35" s="9">
        <v>8.0000000000000004E-4</v>
      </c>
      <c r="V35" s="9" t="str">
        <f t="shared" si="2"/>
        <v/>
      </c>
      <c r="W35" s="9"/>
      <c r="X35" s="9" t="str">
        <f t="shared" si="2"/>
        <v>***</v>
      </c>
      <c r="Y35" s="9"/>
      <c r="Z35" s="9" t="str">
        <f t="shared" si="1"/>
        <v>***</v>
      </c>
      <c r="AA35" s="9"/>
      <c r="AB35" s="9" t="str">
        <f t="shared" si="1"/>
        <v>***</v>
      </c>
      <c r="AC35" s="9"/>
      <c r="AD35" s="9" t="str">
        <f t="shared" si="1"/>
        <v>***</v>
      </c>
    </row>
    <row r="36" spans="1:30" x14ac:dyDescent="0.25">
      <c r="B36" s="9">
        <v>1E-3</v>
      </c>
      <c r="C36" s="9" t="str">
        <f t="shared" si="0"/>
        <v/>
      </c>
      <c r="D36" s="9" t="str">
        <f>+CONCATENATE("(",ROUND(B36,3),")")</f>
        <v>(0,001)</v>
      </c>
      <c r="E36" s="9">
        <v>1E-3</v>
      </c>
      <c r="F36" s="9" t="str">
        <f t="shared" si="0"/>
        <v/>
      </c>
      <c r="G36" s="9">
        <v>1E-3</v>
      </c>
      <c r="H36" s="9" t="str">
        <f t="shared" si="0"/>
        <v/>
      </c>
      <c r="I36" s="9">
        <v>1E-3</v>
      </c>
      <c r="J36" s="9" t="str">
        <f t="shared" si="0"/>
        <v/>
      </c>
      <c r="K36" s="9">
        <v>1E-3</v>
      </c>
      <c r="L36" s="9" t="str">
        <f t="shared" si="0"/>
        <v/>
      </c>
      <c r="M36" s="9">
        <v>1E-3</v>
      </c>
      <c r="N36" s="9" t="str">
        <f t="shared" si="2"/>
        <v/>
      </c>
      <c r="O36" s="9">
        <v>3.0000000000000001E-3</v>
      </c>
      <c r="P36" s="9" t="str">
        <f t="shared" si="2"/>
        <v/>
      </c>
      <c r="Q36" s="9">
        <v>3.0000000000000001E-3</v>
      </c>
      <c r="R36" s="9" t="str">
        <f t="shared" si="2"/>
        <v/>
      </c>
      <c r="S36" s="9">
        <v>3.0000000000000001E-3</v>
      </c>
      <c r="T36" s="9" t="str">
        <f t="shared" si="2"/>
        <v/>
      </c>
      <c r="U36" s="9">
        <v>3.0000000000000001E-3</v>
      </c>
      <c r="V36" s="9" t="str">
        <f t="shared" si="2"/>
        <v/>
      </c>
      <c r="W36" s="9"/>
      <c r="X36" s="9" t="str">
        <f t="shared" si="2"/>
        <v/>
      </c>
      <c r="Y36" s="9"/>
      <c r="Z36" s="9" t="str">
        <f t="shared" si="1"/>
        <v/>
      </c>
      <c r="AA36" s="9"/>
      <c r="AB36" s="9" t="str">
        <f t="shared" si="1"/>
        <v/>
      </c>
      <c r="AC36" s="9"/>
      <c r="AD36" s="9" t="str">
        <f t="shared" si="1"/>
        <v/>
      </c>
    </row>
    <row r="37" spans="1:30" x14ac:dyDescent="0.25">
      <c r="B37" s="9">
        <v>0.41299999999999998</v>
      </c>
      <c r="C37" s="9" t="str">
        <f t="shared" si="0"/>
        <v/>
      </c>
      <c r="D37" s="9"/>
      <c r="E37" s="9">
        <v>3.5999999999999997E-2</v>
      </c>
      <c r="F37" s="9" t="str">
        <f t="shared" si="0"/>
        <v/>
      </c>
      <c r="G37" s="9">
        <v>0.34100000000000003</v>
      </c>
      <c r="H37" s="9" t="str">
        <f t="shared" si="0"/>
        <v/>
      </c>
      <c r="I37" s="9">
        <v>6.6000000000000003E-2</v>
      </c>
      <c r="J37" s="9" t="str">
        <f t="shared" si="0"/>
        <v/>
      </c>
      <c r="K37" s="9">
        <v>0.224</v>
      </c>
      <c r="L37" s="9" t="str">
        <f t="shared" si="0"/>
        <v/>
      </c>
      <c r="M37" s="9">
        <v>0.11700000000000001</v>
      </c>
      <c r="N37" s="9" t="str">
        <f t="shared" si="2"/>
        <v/>
      </c>
      <c r="O37" s="9">
        <v>6.4000000000000001E-2</v>
      </c>
      <c r="P37" s="9" t="str">
        <f t="shared" si="2"/>
        <v/>
      </c>
      <c r="Q37" s="9">
        <v>0.187</v>
      </c>
      <c r="R37" s="9" t="str">
        <f t="shared" si="2"/>
        <v/>
      </c>
      <c r="S37" s="9">
        <v>0.255</v>
      </c>
      <c r="T37" s="9" t="str">
        <f t="shared" si="2"/>
        <v/>
      </c>
      <c r="U37" s="9">
        <v>0.77400000000000002</v>
      </c>
      <c r="V37" s="9" t="str">
        <f t="shared" si="2"/>
        <v/>
      </c>
      <c r="W37" s="9"/>
      <c r="X37" s="9" t="str">
        <f t="shared" si="2"/>
        <v/>
      </c>
      <c r="Y37" s="9"/>
      <c r="Z37" s="9" t="str">
        <f t="shared" si="1"/>
        <v/>
      </c>
      <c r="AA37" s="9"/>
      <c r="AB37" s="9" t="str">
        <f t="shared" si="1"/>
        <v/>
      </c>
      <c r="AC37" s="9"/>
      <c r="AD37" s="9" t="str">
        <f t="shared" si="1"/>
        <v/>
      </c>
    </row>
    <row r="38" spans="1:30" x14ac:dyDescent="0.25">
      <c r="A38" t="s">
        <v>41</v>
      </c>
      <c r="B38" s="9">
        <v>-6.1000000000000004E-3</v>
      </c>
      <c r="C38" s="9" t="str">
        <f t="shared" si="0"/>
        <v>**</v>
      </c>
      <c r="D38" s="9" t="str">
        <f>+CONCATENATE(ROUND(B38,3), " ",C38)</f>
        <v>-0,006 **</v>
      </c>
      <c r="E38" s="9">
        <v>-3.2000000000000002E-3</v>
      </c>
      <c r="F38" s="9" t="str">
        <f t="shared" si="0"/>
        <v/>
      </c>
      <c r="G38" s="9"/>
      <c r="H38" s="9" t="str">
        <f t="shared" si="0"/>
        <v>***</v>
      </c>
      <c r="I38" s="9"/>
      <c r="J38" s="9" t="str">
        <f t="shared" si="0"/>
        <v>***</v>
      </c>
      <c r="K38" s="9"/>
      <c r="L38" s="9" t="str">
        <f t="shared" si="0"/>
        <v>***</v>
      </c>
      <c r="M38" s="9"/>
      <c r="N38" s="9" t="str">
        <f t="shared" si="2"/>
        <v>***</v>
      </c>
      <c r="O38" s="9">
        <v>-4.1300000000000003E-2</v>
      </c>
      <c r="P38" s="9" t="str">
        <f t="shared" si="2"/>
        <v>***</v>
      </c>
      <c r="Q38" s="9">
        <v>-2.6800000000000001E-2</v>
      </c>
      <c r="R38" s="9" t="str">
        <f t="shared" si="2"/>
        <v>***</v>
      </c>
      <c r="S38" s="9">
        <v>-3.8300000000000001E-2</v>
      </c>
      <c r="T38" s="9" t="str">
        <f t="shared" si="2"/>
        <v>***</v>
      </c>
      <c r="U38" s="9">
        <v>-2.6100000000000002E-2</v>
      </c>
      <c r="V38" s="9" t="str">
        <f t="shared" si="2"/>
        <v>***</v>
      </c>
      <c r="W38" s="9"/>
      <c r="X38" s="9" t="str">
        <f t="shared" si="2"/>
        <v>***</v>
      </c>
      <c r="Y38" s="9"/>
      <c r="Z38" s="9" t="str">
        <f t="shared" si="1"/>
        <v>***</v>
      </c>
      <c r="AA38" s="9"/>
      <c r="AB38" s="9" t="str">
        <f t="shared" si="1"/>
        <v>***</v>
      </c>
      <c r="AC38" s="9"/>
      <c r="AD38" s="9" t="str">
        <f t="shared" si="1"/>
        <v>***</v>
      </c>
    </row>
    <row r="39" spans="1:30" x14ac:dyDescent="0.25">
      <c r="B39" s="9">
        <v>3.0000000000000001E-3</v>
      </c>
      <c r="C39" s="9" t="str">
        <f t="shared" si="0"/>
        <v/>
      </c>
      <c r="D39" s="9" t="str">
        <f>+CONCATENATE("(",ROUND(B39,3),")")</f>
        <v>(0,003)</v>
      </c>
      <c r="E39" s="9">
        <v>3.0000000000000001E-3</v>
      </c>
      <c r="F39" s="9" t="str">
        <f t="shared" si="0"/>
        <v/>
      </c>
      <c r="G39" s="9"/>
      <c r="H39" s="9" t="str">
        <f t="shared" si="0"/>
        <v/>
      </c>
      <c r="I39" s="9"/>
      <c r="J39" s="9" t="str">
        <f t="shared" si="0"/>
        <v/>
      </c>
      <c r="K39" s="9"/>
      <c r="L39" s="9" t="str">
        <f t="shared" si="0"/>
        <v/>
      </c>
      <c r="M39" s="9"/>
      <c r="N39" s="9" t="str">
        <f t="shared" si="2"/>
        <v/>
      </c>
      <c r="O39" s="9">
        <v>8.9999999999999993E-3</v>
      </c>
      <c r="P39" s="9" t="str">
        <f t="shared" si="2"/>
        <v/>
      </c>
      <c r="Q39" s="9">
        <v>8.0000000000000002E-3</v>
      </c>
      <c r="R39" s="9" t="str">
        <f t="shared" si="2"/>
        <v/>
      </c>
      <c r="S39" s="9">
        <v>8.9999999999999993E-3</v>
      </c>
      <c r="T39" s="9" t="str">
        <f t="shared" si="2"/>
        <v/>
      </c>
      <c r="U39" s="9">
        <v>8.9999999999999993E-3</v>
      </c>
      <c r="V39" s="9" t="str">
        <f t="shared" si="2"/>
        <v/>
      </c>
      <c r="W39" s="9"/>
      <c r="X39" s="9" t="str">
        <f t="shared" si="2"/>
        <v/>
      </c>
      <c r="Y39" s="9"/>
      <c r="Z39" s="9" t="str">
        <f t="shared" si="1"/>
        <v/>
      </c>
      <c r="AA39" s="9"/>
      <c r="AB39" s="9" t="str">
        <f t="shared" si="1"/>
        <v/>
      </c>
      <c r="AC39" s="9"/>
      <c r="AD39" s="9" t="str">
        <f t="shared" si="1"/>
        <v/>
      </c>
    </row>
    <row r="40" spans="1:30" x14ac:dyDescent="0.25">
      <c r="B40" s="9">
        <v>4.7E-2</v>
      </c>
      <c r="C40" s="9" t="str">
        <f t="shared" si="0"/>
        <v/>
      </c>
      <c r="D40" s="9"/>
      <c r="E40" s="9">
        <v>0.249</v>
      </c>
      <c r="F40" s="9" t="str">
        <f t="shared" si="0"/>
        <v/>
      </c>
      <c r="G40" s="9"/>
      <c r="H40" s="9" t="str">
        <f t="shared" si="0"/>
        <v/>
      </c>
      <c r="I40" s="9"/>
      <c r="J40" s="9" t="str">
        <f t="shared" si="0"/>
        <v/>
      </c>
      <c r="K40" s="9"/>
      <c r="L40" s="9" t="str">
        <f t="shared" si="0"/>
        <v/>
      </c>
      <c r="M40" s="9"/>
      <c r="N40" s="9" t="str">
        <f t="shared" si="2"/>
        <v/>
      </c>
      <c r="O40" s="9">
        <v>0</v>
      </c>
      <c r="P40" s="9" t="str">
        <f t="shared" si="2"/>
        <v/>
      </c>
      <c r="Q40" s="9">
        <v>1E-3</v>
      </c>
      <c r="R40" s="9" t="str">
        <f t="shared" si="2"/>
        <v/>
      </c>
      <c r="S40" s="9">
        <v>0</v>
      </c>
      <c r="T40" s="9" t="str">
        <f t="shared" si="2"/>
        <v/>
      </c>
      <c r="U40" s="9">
        <v>3.0000000000000001E-3</v>
      </c>
      <c r="V40" s="9" t="str">
        <f t="shared" si="2"/>
        <v/>
      </c>
      <c r="W40" s="9"/>
      <c r="X40" s="9" t="str">
        <f t="shared" si="2"/>
        <v/>
      </c>
      <c r="Y40" s="9"/>
      <c r="Z40" s="9" t="str">
        <f t="shared" si="1"/>
        <v/>
      </c>
      <c r="AA40" s="9"/>
      <c r="AB40" s="9" t="str">
        <f t="shared" si="1"/>
        <v/>
      </c>
      <c r="AC40" s="9"/>
      <c r="AD40" s="9" t="str">
        <f t="shared" si="1"/>
        <v/>
      </c>
    </row>
    <row r="41" spans="1:30" x14ac:dyDescent="0.25">
      <c r="A41" t="s">
        <v>42</v>
      </c>
      <c r="B41" s="9">
        <v>-4.4999999999999997E-3</v>
      </c>
      <c r="C41" s="9" t="str">
        <f t="shared" si="0"/>
        <v/>
      </c>
      <c r="D41" s="9" t="str">
        <f>+CONCATENATE(ROUND(B41,3), " ",C41)</f>
        <v xml:space="preserve">-0,005 </v>
      </c>
      <c r="E41" s="9">
        <v>-8.4000000000000005E-2</v>
      </c>
      <c r="F41" s="9" t="str">
        <f t="shared" si="0"/>
        <v/>
      </c>
      <c r="G41" s="9"/>
      <c r="H41" s="9" t="str">
        <f t="shared" si="0"/>
        <v>***</v>
      </c>
      <c r="I41" s="9"/>
      <c r="J41" s="9" t="str">
        <f t="shared" si="0"/>
        <v>***</v>
      </c>
      <c r="K41" s="9"/>
      <c r="L41" s="9" t="str">
        <f t="shared" si="0"/>
        <v>***</v>
      </c>
      <c r="M41" s="9"/>
      <c r="N41" s="9" t="str">
        <f t="shared" si="2"/>
        <v>***</v>
      </c>
      <c r="O41" s="9"/>
      <c r="P41" s="9" t="str">
        <f t="shared" si="2"/>
        <v>***</v>
      </c>
      <c r="Q41" s="9"/>
      <c r="R41" s="9" t="str">
        <f t="shared" si="2"/>
        <v>***</v>
      </c>
      <c r="S41" s="9"/>
      <c r="T41" s="9" t="str">
        <f t="shared" si="2"/>
        <v>***</v>
      </c>
      <c r="U41" s="9"/>
      <c r="V41" s="9" t="str">
        <f t="shared" si="2"/>
        <v>***</v>
      </c>
      <c r="W41" s="9">
        <v>1.29E-2</v>
      </c>
      <c r="X41" s="9" t="str">
        <f t="shared" si="2"/>
        <v/>
      </c>
      <c r="Y41" s="9">
        <v>-6.6199999999999995E-2</v>
      </c>
      <c r="Z41" s="9" t="str">
        <f t="shared" si="1"/>
        <v/>
      </c>
      <c r="AA41" s="9"/>
      <c r="AB41" s="9" t="str">
        <f t="shared" si="1"/>
        <v>***</v>
      </c>
      <c r="AC41" s="9"/>
      <c r="AD41" s="9" t="str">
        <f t="shared" si="1"/>
        <v>***</v>
      </c>
    </row>
    <row r="42" spans="1:30" x14ac:dyDescent="0.25">
      <c r="B42" s="9">
        <v>0.09</v>
      </c>
      <c r="C42" s="9" t="str">
        <f t="shared" si="0"/>
        <v/>
      </c>
      <c r="D42" s="9" t="str">
        <f>+CONCATENATE("(",ROUND(B42,3),")")</f>
        <v>(0,09)</v>
      </c>
      <c r="E42" s="9">
        <v>8.2000000000000003E-2</v>
      </c>
      <c r="F42" s="9" t="str">
        <f t="shared" si="0"/>
        <v/>
      </c>
      <c r="G42" s="9"/>
      <c r="H42" s="9" t="str">
        <f t="shared" si="0"/>
        <v/>
      </c>
      <c r="I42" s="9"/>
      <c r="J42" s="9" t="str">
        <f t="shared" si="0"/>
        <v/>
      </c>
      <c r="K42" s="9"/>
      <c r="L42" s="9" t="str">
        <f t="shared" si="0"/>
        <v/>
      </c>
      <c r="M42" s="9"/>
      <c r="N42" s="9" t="str">
        <f t="shared" si="2"/>
        <v/>
      </c>
      <c r="O42" s="9"/>
      <c r="P42" s="9" t="str">
        <f t="shared" si="2"/>
        <v/>
      </c>
      <c r="Q42" s="9"/>
      <c r="R42" s="9" t="str">
        <f t="shared" si="2"/>
        <v/>
      </c>
      <c r="S42" s="9"/>
      <c r="T42" s="9" t="str">
        <f t="shared" si="2"/>
        <v/>
      </c>
      <c r="U42" s="9"/>
      <c r="V42" s="9" t="str">
        <f t="shared" si="2"/>
        <v/>
      </c>
      <c r="W42" s="9">
        <v>0.09</v>
      </c>
      <c r="X42" s="9" t="str">
        <f t="shared" si="2"/>
        <v/>
      </c>
      <c r="Y42" s="9">
        <v>8.3000000000000004E-2</v>
      </c>
      <c r="Z42" s="9" t="str">
        <f t="shared" si="1"/>
        <v/>
      </c>
      <c r="AA42" s="9"/>
      <c r="AB42" s="9" t="str">
        <f t="shared" si="1"/>
        <v/>
      </c>
      <c r="AC42" s="9"/>
      <c r="AD42" s="9" t="str">
        <f t="shared" si="1"/>
        <v/>
      </c>
    </row>
    <row r="43" spans="1:30" x14ac:dyDescent="0.25">
      <c r="B43" s="9">
        <v>0.96</v>
      </c>
      <c r="C43" s="9" t="str">
        <f t="shared" si="0"/>
        <v/>
      </c>
      <c r="D43" s="9"/>
      <c r="E43" s="9">
        <v>0.30599999999999999</v>
      </c>
      <c r="F43" s="9" t="str">
        <f t="shared" si="0"/>
        <v/>
      </c>
      <c r="G43" s="9"/>
      <c r="H43" s="9" t="str">
        <f t="shared" si="0"/>
        <v/>
      </c>
      <c r="I43" s="9"/>
      <c r="J43" s="9" t="str">
        <f t="shared" si="0"/>
        <v/>
      </c>
      <c r="K43" s="9"/>
      <c r="L43" s="9" t="str">
        <f t="shared" si="0"/>
        <v/>
      </c>
      <c r="M43" s="9"/>
      <c r="N43" s="9" t="str">
        <f t="shared" si="2"/>
        <v/>
      </c>
      <c r="O43" s="9"/>
      <c r="P43" s="9" t="str">
        <f t="shared" si="2"/>
        <v/>
      </c>
      <c r="Q43" s="9"/>
      <c r="R43" s="9" t="str">
        <f t="shared" si="2"/>
        <v/>
      </c>
      <c r="S43" s="9"/>
      <c r="T43" s="9" t="str">
        <f t="shared" si="2"/>
        <v/>
      </c>
      <c r="U43" s="9"/>
      <c r="V43" s="9" t="str">
        <f t="shared" si="2"/>
        <v/>
      </c>
      <c r="W43" s="9">
        <v>0.88700000000000001</v>
      </c>
      <c r="X43" s="9" t="str">
        <f t="shared" si="2"/>
        <v/>
      </c>
      <c r="Y43" s="9">
        <v>0.42299999999999999</v>
      </c>
      <c r="Z43" s="9" t="str">
        <f t="shared" si="1"/>
        <v/>
      </c>
      <c r="AA43" s="9"/>
      <c r="AB43" s="9" t="str">
        <f t="shared" si="1"/>
        <v/>
      </c>
      <c r="AC43" s="9"/>
      <c r="AD43" s="9" t="str">
        <f t="shared" si="1"/>
        <v/>
      </c>
    </row>
    <row r="44" spans="1:30" x14ac:dyDescent="0.25">
      <c r="A44" t="s">
        <v>43</v>
      </c>
      <c r="B44" s="9">
        <v>0.76149999999999995</v>
      </c>
      <c r="C44" s="9" t="str">
        <f t="shared" si="0"/>
        <v>***</v>
      </c>
      <c r="D44" s="9" t="str">
        <f>+CONCATENATE(ROUND(B44,3), " ",C44)</f>
        <v>0,762 ***</v>
      </c>
      <c r="E44" s="9">
        <v>0.81320000000000003</v>
      </c>
      <c r="F44" s="9" t="str">
        <f t="shared" si="0"/>
        <v>***</v>
      </c>
      <c r="G44" s="9">
        <v>0.74409999999999998</v>
      </c>
      <c r="H44" s="9" t="str">
        <f t="shared" si="0"/>
        <v>***</v>
      </c>
      <c r="I44" s="9">
        <v>0.73309999999999997</v>
      </c>
      <c r="J44" s="9" t="str">
        <f t="shared" si="0"/>
        <v>***</v>
      </c>
      <c r="K44" s="9">
        <v>0.73829999999999996</v>
      </c>
      <c r="L44" s="9" t="str">
        <f t="shared" si="0"/>
        <v>***</v>
      </c>
      <c r="M44" s="9">
        <v>0.72419999999999995</v>
      </c>
      <c r="N44" s="9" t="str">
        <f t="shared" si="2"/>
        <v>***</v>
      </c>
      <c r="O44" s="9"/>
      <c r="P44" s="9" t="str">
        <f t="shared" si="2"/>
        <v>***</v>
      </c>
      <c r="Q44" s="9"/>
      <c r="R44" s="9" t="str">
        <f t="shared" si="2"/>
        <v>***</v>
      </c>
      <c r="S44" s="9"/>
      <c r="T44" s="9" t="str">
        <f t="shared" si="2"/>
        <v>***</v>
      </c>
      <c r="U44" s="9"/>
      <c r="V44" s="9" t="str">
        <f t="shared" si="2"/>
        <v>***</v>
      </c>
      <c r="W44" s="9">
        <v>0.74870000000000003</v>
      </c>
      <c r="X44" s="9" t="str">
        <f t="shared" ref="X44:AD58" si="3">+IF($A44&lt;&gt;"",IF(W46&lt;0.01,"***",IF(W46&lt;0.05,"**",IF(W46&lt;0.1,"*",""))),"")</f>
        <v>***</v>
      </c>
      <c r="Y44" s="9">
        <v>0.79169999999999996</v>
      </c>
      <c r="Z44" s="9" t="str">
        <f t="shared" si="3"/>
        <v>***</v>
      </c>
      <c r="AA44" s="9">
        <v>0.72929999999999995</v>
      </c>
      <c r="AB44" s="9" t="str">
        <f t="shared" si="3"/>
        <v>***</v>
      </c>
      <c r="AC44" s="9">
        <v>0.71909999999999996</v>
      </c>
      <c r="AD44" s="9" t="str">
        <f t="shared" si="3"/>
        <v>***</v>
      </c>
    </row>
    <row r="45" spans="1:30" x14ac:dyDescent="0.25">
      <c r="B45" s="9">
        <v>9.7000000000000003E-2</v>
      </c>
      <c r="C45" s="9" t="str">
        <f t="shared" si="0"/>
        <v/>
      </c>
      <c r="D45" s="9" t="str">
        <f>+CONCATENATE("(",ROUND(B45,3),")")</f>
        <v>(0,097)</v>
      </c>
      <c r="E45" s="9">
        <v>8.7999999999999995E-2</v>
      </c>
      <c r="F45" s="9" t="str">
        <f t="shared" si="0"/>
        <v/>
      </c>
      <c r="G45" s="9">
        <v>8.0000000000000002E-3</v>
      </c>
      <c r="H45" s="9" t="str">
        <f t="shared" si="0"/>
        <v/>
      </c>
      <c r="I45" s="9">
        <v>8.9999999999999993E-3</v>
      </c>
      <c r="J45" s="9" t="str">
        <f t="shared" si="0"/>
        <v/>
      </c>
      <c r="K45" s="9">
        <v>7.0000000000000001E-3</v>
      </c>
      <c r="L45" s="9" t="str">
        <f t="shared" si="0"/>
        <v/>
      </c>
      <c r="M45" s="9">
        <v>8.9999999999999993E-3</v>
      </c>
      <c r="N45" s="9" t="str">
        <f t="shared" si="2"/>
        <v/>
      </c>
      <c r="O45" s="9"/>
      <c r="P45" s="9" t="str">
        <f t="shared" si="2"/>
        <v/>
      </c>
      <c r="Q45" s="9"/>
      <c r="R45" s="9" t="str">
        <f t="shared" si="2"/>
        <v/>
      </c>
      <c r="S45" s="9"/>
      <c r="T45" s="9" t="str">
        <f t="shared" si="2"/>
        <v/>
      </c>
      <c r="U45" s="9"/>
      <c r="V45" s="9" t="str">
        <f t="shared" si="2"/>
        <v/>
      </c>
      <c r="W45" s="9">
        <v>9.7000000000000003E-2</v>
      </c>
      <c r="X45" s="9" t="str">
        <f t="shared" si="3"/>
        <v/>
      </c>
      <c r="Y45" s="9">
        <v>8.8999999999999996E-2</v>
      </c>
      <c r="Z45" s="9" t="str">
        <f t="shared" si="3"/>
        <v/>
      </c>
      <c r="AA45" s="9">
        <v>7.0000000000000001E-3</v>
      </c>
      <c r="AB45" s="9" t="str">
        <f t="shared" si="3"/>
        <v/>
      </c>
      <c r="AC45" s="9">
        <v>8.0000000000000002E-3</v>
      </c>
      <c r="AD45" s="9" t="str">
        <f t="shared" si="3"/>
        <v/>
      </c>
    </row>
    <row r="46" spans="1:30" x14ac:dyDescent="0.25">
      <c r="B46" s="9">
        <v>0</v>
      </c>
      <c r="C46" s="9" t="str">
        <f t="shared" si="0"/>
        <v/>
      </c>
      <c r="D46" s="9"/>
      <c r="E46" s="9">
        <v>0</v>
      </c>
      <c r="F46" s="9" t="str">
        <f t="shared" si="0"/>
        <v/>
      </c>
      <c r="G46" s="9">
        <v>0</v>
      </c>
      <c r="H46" s="9" t="str">
        <f t="shared" si="0"/>
        <v/>
      </c>
      <c r="I46" s="9">
        <v>0</v>
      </c>
      <c r="J46" s="9" t="str">
        <f t="shared" si="0"/>
        <v/>
      </c>
      <c r="K46" s="9">
        <v>0</v>
      </c>
      <c r="L46" s="9" t="str">
        <f t="shared" si="0"/>
        <v/>
      </c>
      <c r="M46" s="9">
        <v>0</v>
      </c>
      <c r="N46" s="9" t="str">
        <f t="shared" si="2"/>
        <v/>
      </c>
      <c r="O46" s="9"/>
      <c r="P46" s="9" t="str">
        <f t="shared" si="2"/>
        <v/>
      </c>
      <c r="Q46" s="9"/>
      <c r="R46" s="9" t="str">
        <f t="shared" si="2"/>
        <v/>
      </c>
      <c r="S46" s="9"/>
      <c r="T46" s="9" t="str">
        <f t="shared" si="2"/>
        <v/>
      </c>
      <c r="U46" s="9"/>
      <c r="V46" s="9" t="str">
        <f t="shared" si="2"/>
        <v/>
      </c>
      <c r="W46" s="9">
        <v>0</v>
      </c>
      <c r="X46" s="9" t="str">
        <f t="shared" si="3"/>
        <v/>
      </c>
      <c r="Y46" s="9">
        <v>0</v>
      </c>
      <c r="Z46" s="9" t="str">
        <f t="shared" si="3"/>
        <v/>
      </c>
      <c r="AA46" s="9">
        <v>0</v>
      </c>
      <c r="AB46" s="9" t="str">
        <f t="shared" si="3"/>
        <v/>
      </c>
      <c r="AC46" s="9">
        <v>0</v>
      </c>
      <c r="AD46" s="9" t="str">
        <f t="shared" si="3"/>
        <v/>
      </c>
    </row>
    <row r="47" spans="1:30" x14ac:dyDescent="0.25">
      <c r="A47" t="s">
        <v>44</v>
      </c>
      <c r="B47" s="9">
        <v>5.3E-3</v>
      </c>
      <c r="C47" s="9" t="str">
        <f t="shared" si="0"/>
        <v/>
      </c>
      <c r="D47" s="9" t="str">
        <f>+CONCATENATE(ROUND(B47,3), " ",C47)</f>
        <v xml:space="preserve">0,005 </v>
      </c>
      <c r="E47" s="9">
        <v>-0.29120000000000001</v>
      </c>
      <c r="F47" s="9" t="str">
        <f t="shared" si="0"/>
        <v>**</v>
      </c>
      <c r="G47" s="9">
        <v>5.8200000000000002E-2</v>
      </c>
      <c r="H47" s="9" t="str">
        <f t="shared" si="0"/>
        <v/>
      </c>
      <c r="I47" s="9">
        <v>-0.22589999999999999</v>
      </c>
      <c r="J47" s="9" t="str">
        <f t="shared" si="0"/>
        <v>*</v>
      </c>
      <c r="K47" s="9"/>
      <c r="L47" s="9" t="str">
        <f t="shared" si="0"/>
        <v>***</v>
      </c>
      <c r="M47" s="9"/>
      <c r="N47" s="9" t="str">
        <f t="shared" si="2"/>
        <v>***</v>
      </c>
      <c r="O47" s="9">
        <v>0.85460000000000003</v>
      </c>
      <c r="P47" s="9" t="str">
        <f t="shared" si="2"/>
        <v>**</v>
      </c>
      <c r="Q47" s="9">
        <v>0.13789999999999999</v>
      </c>
      <c r="R47" s="9" t="str">
        <f t="shared" si="2"/>
        <v/>
      </c>
      <c r="S47" s="9">
        <v>0.64970000000000006</v>
      </c>
      <c r="T47" s="9" t="str">
        <f t="shared" si="2"/>
        <v>*</v>
      </c>
      <c r="U47" s="9">
        <v>-0.151</v>
      </c>
      <c r="V47" s="9" t="str">
        <f t="shared" si="2"/>
        <v/>
      </c>
      <c r="W47" s="9">
        <v>-0.03</v>
      </c>
      <c r="X47" s="9" t="str">
        <f t="shared" si="3"/>
        <v/>
      </c>
      <c r="Y47" s="9">
        <v>-0.30530000000000002</v>
      </c>
      <c r="Z47" s="9" t="str">
        <f t="shared" si="3"/>
        <v>***</v>
      </c>
      <c r="AA47" s="9"/>
      <c r="AB47" s="9" t="str">
        <f t="shared" si="3"/>
        <v>***</v>
      </c>
      <c r="AC47" s="9"/>
      <c r="AD47" s="9" t="str">
        <f t="shared" si="3"/>
        <v>***</v>
      </c>
    </row>
    <row r="48" spans="1:30" x14ac:dyDescent="0.25">
      <c r="B48" s="9">
        <v>0.122</v>
      </c>
      <c r="C48" s="9" t="str">
        <f t="shared" si="0"/>
        <v/>
      </c>
      <c r="D48" s="9" t="str">
        <f>+CONCATENATE("(",ROUND(B48,3),")")</f>
        <v>(0,122)</v>
      </c>
      <c r="E48" s="9">
        <v>0.11700000000000001</v>
      </c>
      <c r="F48" s="9" t="str">
        <f t="shared" si="0"/>
        <v/>
      </c>
      <c r="G48" s="9">
        <v>0.123</v>
      </c>
      <c r="H48" s="9" t="str">
        <f t="shared" si="0"/>
        <v/>
      </c>
      <c r="I48" s="9">
        <v>0.11700000000000001</v>
      </c>
      <c r="J48" s="9" t="str">
        <f t="shared" si="0"/>
        <v/>
      </c>
      <c r="K48" s="9"/>
      <c r="L48" s="9" t="str">
        <f t="shared" si="0"/>
        <v/>
      </c>
      <c r="M48" s="9"/>
      <c r="N48" s="9" t="str">
        <f t="shared" si="2"/>
        <v/>
      </c>
      <c r="O48" s="9">
        <v>0.378</v>
      </c>
      <c r="P48" s="9" t="str">
        <f t="shared" si="2"/>
        <v/>
      </c>
      <c r="Q48" s="9">
        <v>0.34499999999999997</v>
      </c>
      <c r="R48" s="9" t="str">
        <f t="shared" si="2"/>
        <v/>
      </c>
      <c r="S48" s="9">
        <v>0.38200000000000001</v>
      </c>
      <c r="T48" s="9" t="str">
        <f t="shared" si="2"/>
        <v/>
      </c>
      <c r="U48" s="9">
        <v>0.37</v>
      </c>
      <c r="V48" s="9" t="str">
        <f t="shared" si="2"/>
        <v/>
      </c>
      <c r="W48" s="9">
        <v>0.121</v>
      </c>
      <c r="X48" s="9" t="str">
        <f t="shared" si="3"/>
        <v/>
      </c>
      <c r="Y48" s="9">
        <v>0.11600000000000001</v>
      </c>
      <c r="Z48" s="9" t="str">
        <f t="shared" si="3"/>
        <v/>
      </c>
      <c r="AA48" s="9"/>
      <c r="AB48" s="9" t="str">
        <f t="shared" si="3"/>
        <v/>
      </c>
      <c r="AC48" s="9"/>
      <c r="AD48" s="9" t="str">
        <f t="shared" si="3"/>
        <v/>
      </c>
    </row>
    <row r="49" spans="1:30" x14ac:dyDescent="0.25">
      <c r="B49" s="9">
        <v>0.96499999999999997</v>
      </c>
      <c r="C49" s="9" t="str">
        <f t="shared" si="0"/>
        <v/>
      </c>
      <c r="D49" s="9"/>
      <c r="E49" s="9">
        <v>1.4E-2</v>
      </c>
      <c r="F49" s="9" t="str">
        <f t="shared" si="0"/>
        <v/>
      </c>
      <c r="G49" s="9">
        <v>0.63500000000000001</v>
      </c>
      <c r="H49" s="9" t="str">
        <f t="shared" si="0"/>
        <v/>
      </c>
      <c r="I49" s="9">
        <v>5.5E-2</v>
      </c>
      <c r="J49" s="9" t="str">
        <f t="shared" si="0"/>
        <v/>
      </c>
      <c r="K49" s="9"/>
      <c r="L49" s="9" t="str">
        <f t="shared" si="0"/>
        <v/>
      </c>
      <c r="M49" s="9"/>
      <c r="N49" s="9" t="str">
        <f t="shared" si="2"/>
        <v/>
      </c>
      <c r="O49" s="9">
        <v>2.4E-2</v>
      </c>
      <c r="P49" s="9" t="str">
        <f t="shared" si="2"/>
        <v/>
      </c>
      <c r="Q49" s="9">
        <v>0.69</v>
      </c>
      <c r="R49" s="9" t="str">
        <f t="shared" si="2"/>
        <v/>
      </c>
      <c r="S49" s="9">
        <v>0.09</v>
      </c>
      <c r="T49" s="9" t="str">
        <f t="shared" si="2"/>
        <v/>
      </c>
      <c r="U49" s="9">
        <v>0.68400000000000005</v>
      </c>
      <c r="V49" s="9" t="str">
        <f t="shared" si="2"/>
        <v/>
      </c>
      <c r="W49" s="9">
        <v>0.80400000000000005</v>
      </c>
      <c r="X49" s="9" t="str">
        <f t="shared" si="3"/>
        <v/>
      </c>
      <c r="Y49" s="9">
        <v>8.9999999999999993E-3</v>
      </c>
      <c r="Z49" s="9" t="str">
        <f t="shared" si="3"/>
        <v/>
      </c>
      <c r="AA49" s="9"/>
      <c r="AB49" s="9" t="str">
        <f t="shared" si="3"/>
        <v/>
      </c>
      <c r="AC49" s="9"/>
      <c r="AD49" s="9" t="str">
        <f t="shared" si="3"/>
        <v/>
      </c>
    </row>
    <row r="50" spans="1:30" x14ac:dyDescent="0.25">
      <c r="A50" t="s">
        <v>45</v>
      </c>
      <c r="B50" s="9">
        <v>7.6399999999999996E-2</v>
      </c>
      <c r="C50" s="9" t="str">
        <f t="shared" si="0"/>
        <v/>
      </c>
      <c r="D50" s="9" t="str">
        <f>+CONCATENATE(ROUND(B50,3), " ",C50)</f>
        <v xml:space="preserve">0,076 </v>
      </c>
      <c r="E50" s="9">
        <v>7.0499999999999993E-2</v>
      </c>
      <c r="F50" s="9" t="str">
        <f t="shared" si="0"/>
        <v/>
      </c>
      <c r="G50" s="9">
        <v>0.12720000000000001</v>
      </c>
      <c r="H50" s="9" t="str">
        <f t="shared" si="0"/>
        <v>*</v>
      </c>
      <c r="I50" s="9">
        <v>6.7599999999999993E-2</v>
      </c>
      <c r="J50" s="9" t="str">
        <f t="shared" si="0"/>
        <v/>
      </c>
      <c r="K50" s="9"/>
      <c r="L50" s="9" t="str">
        <f t="shared" si="0"/>
        <v>***</v>
      </c>
      <c r="M50" s="9"/>
      <c r="N50" s="9" t="str">
        <f t="shared" si="2"/>
        <v>***</v>
      </c>
      <c r="O50" s="9"/>
      <c r="P50" s="9" t="str">
        <f t="shared" si="2"/>
        <v>***</v>
      </c>
      <c r="Q50" s="9"/>
      <c r="R50" s="9" t="str">
        <f t="shared" si="2"/>
        <v>***</v>
      </c>
      <c r="S50" s="9">
        <v>1.3967000000000001</v>
      </c>
      <c r="T50" s="9" t="str">
        <f t="shared" si="2"/>
        <v>***</v>
      </c>
      <c r="U50" s="9">
        <v>0.73550000000000004</v>
      </c>
      <c r="V50" s="9" t="str">
        <f t="shared" si="2"/>
        <v>***</v>
      </c>
      <c r="W50" s="9"/>
      <c r="X50" s="9" t="str">
        <f t="shared" si="3"/>
        <v>***</v>
      </c>
      <c r="Y50" s="9"/>
      <c r="Z50" s="9" t="str">
        <f t="shared" si="3"/>
        <v>***</v>
      </c>
      <c r="AA50" s="9">
        <v>0.1323</v>
      </c>
      <c r="AB50" s="9" t="str">
        <f t="shared" si="3"/>
        <v>*</v>
      </c>
      <c r="AC50" s="9">
        <v>0.1022</v>
      </c>
      <c r="AD50" s="9" t="str">
        <f t="shared" si="3"/>
        <v/>
      </c>
    </row>
    <row r="51" spans="1:30" x14ac:dyDescent="0.25">
      <c r="B51" s="9">
        <v>7.4999999999999997E-2</v>
      </c>
      <c r="C51" s="9" t="str">
        <f t="shared" si="0"/>
        <v/>
      </c>
      <c r="D51" s="9" t="str">
        <f>+CONCATENATE("(",ROUND(B51,3),")")</f>
        <v>(0,075)</v>
      </c>
      <c r="E51" s="9">
        <v>7.0000000000000007E-2</v>
      </c>
      <c r="F51" s="9" t="str">
        <f t="shared" si="0"/>
        <v/>
      </c>
      <c r="G51" s="9">
        <v>7.3999999999999996E-2</v>
      </c>
      <c r="H51" s="9" t="str">
        <f t="shared" si="0"/>
        <v/>
      </c>
      <c r="I51" s="9">
        <v>7.0000000000000007E-2</v>
      </c>
      <c r="J51" s="9" t="str">
        <f t="shared" si="0"/>
        <v/>
      </c>
      <c r="K51" s="9"/>
      <c r="L51" s="9" t="str">
        <f t="shared" si="0"/>
        <v/>
      </c>
      <c r="M51" s="9"/>
      <c r="N51" s="9" t="str">
        <f t="shared" si="2"/>
        <v/>
      </c>
      <c r="O51" s="9"/>
      <c r="P51" s="9" t="str">
        <f t="shared" si="2"/>
        <v/>
      </c>
      <c r="Q51" s="9"/>
      <c r="R51" s="9" t="str">
        <f t="shared" si="2"/>
        <v/>
      </c>
      <c r="S51" s="9">
        <v>0.22800000000000001</v>
      </c>
      <c r="T51" s="9" t="str">
        <f t="shared" si="2"/>
        <v/>
      </c>
      <c r="U51" s="9">
        <v>0.219</v>
      </c>
      <c r="V51" s="9" t="str">
        <f t="shared" si="2"/>
        <v/>
      </c>
      <c r="W51" s="9"/>
      <c r="X51" s="9" t="str">
        <f t="shared" si="3"/>
        <v/>
      </c>
      <c r="Y51" s="9"/>
      <c r="Z51" s="9" t="str">
        <f t="shared" si="3"/>
        <v/>
      </c>
      <c r="AA51" s="9">
        <v>7.2999999999999995E-2</v>
      </c>
      <c r="AB51" s="9" t="str">
        <f t="shared" si="3"/>
        <v/>
      </c>
      <c r="AC51" s="9">
        <v>7.0999999999999994E-2</v>
      </c>
      <c r="AD51" s="9" t="str">
        <f t="shared" si="3"/>
        <v/>
      </c>
    </row>
    <row r="52" spans="1:30" x14ac:dyDescent="0.25">
      <c r="B52" s="9">
        <v>0.31</v>
      </c>
      <c r="C52" s="9" t="str">
        <f t="shared" si="0"/>
        <v/>
      </c>
      <c r="D52" s="9"/>
      <c r="E52" s="9">
        <v>0.316</v>
      </c>
      <c r="F52" s="9" t="str">
        <f t="shared" si="0"/>
        <v/>
      </c>
      <c r="G52" s="9">
        <v>8.5000000000000006E-2</v>
      </c>
      <c r="H52" s="9" t="str">
        <f t="shared" si="0"/>
        <v/>
      </c>
      <c r="I52" s="9">
        <v>0.33700000000000002</v>
      </c>
      <c r="J52" s="9" t="str">
        <f t="shared" si="0"/>
        <v/>
      </c>
      <c r="K52" s="9"/>
      <c r="L52" s="9" t="str">
        <f t="shared" si="0"/>
        <v/>
      </c>
      <c r="M52" s="9"/>
      <c r="N52" s="9" t="str">
        <f t="shared" si="2"/>
        <v/>
      </c>
      <c r="O52" s="9"/>
      <c r="P52" s="9" t="str">
        <f t="shared" si="2"/>
        <v/>
      </c>
      <c r="Q52" s="9"/>
      <c r="R52" s="9" t="str">
        <f t="shared" si="2"/>
        <v/>
      </c>
      <c r="S52" s="9">
        <v>0</v>
      </c>
      <c r="T52" s="9" t="str">
        <f t="shared" si="2"/>
        <v/>
      </c>
      <c r="U52" s="9">
        <v>1E-3</v>
      </c>
      <c r="V52" s="9" t="str">
        <f t="shared" si="2"/>
        <v/>
      </c>
      <c r="W52" s="9"/>
      <c r="X52" s="9" t="str">
        <f t="shared" si="3"/>
        <v/>
      </c>
      <c r="Y52" s="9"/>
      <c r="Z52" s="9" t="str">
        <f t="shared" si="3"/>
        <v/>
      </c>
      <c r="AA52" s="9">
        <v>6.9000000000000006E-2</v>
      </c>
      <c r="AB52" s="9" t="str">
        <f t="shared" si="3"/>
        <v/>
      </c>
      <c r="AC52" s="9">
        <v>0.152</v>
      </c>
      <c r="AD52" s="9" t="str">
        <f t="shared" si="3"/>
        <v/>
      </c>
    </row>
    <row r="53" spans="1:30" x14ac:dyDescent="0.25">
      <c r="A53" t="s">
        <v>46</v>
      </c>
      <c r="B53" s="9">
        <v>2.4693000000000001</v>
      </c>
      <c r="C53" s="9" t="str">
        <f t="shared" si="0"/>
        <v>***</v>
      </c>
      <c r="D53" s="9" t="str">
        <f>+CONCATENATE(ROUND(B53,3), " ",C53)</f>
        <v>2,469 ***</v>
      </c>
      <c r="E53" s="9">
        <v>2.3578000000000001</v>
      </c>
      <c r="F53" s="9" t="str">
        <f t="shared" si="0"/>
        <v>***</v>
      </c>
      <c r="G53" s="9"/>
      <c r="H53" s="9" t="str">
        <f t="shared" si="0"/>
        <v>***</v>
      </c>
      <c r="I53" s="9"/>
      <c r="J53" s="9" t="str">
        <f t="shared" si="0"/>
        <v>***</v>
      </c>
      <c r="K53" s="9"/>
      <c r="L53" s="9" t="str">
        <f t="shared" si="0"/>
        <v>***</v>
      </c>
      <c r="M53" s="9"/>
      <c r="N53" s="9" t="str">
        <f t="shared" si="2"/>
        <v>***</v>
      </c>
      <c r="O53" s="9">
        <v>-7.9756</v>
      </c>
      <c r="P53" s="9" t="str">
        <f t="shared" si="2"/>
        <v>***</v>
      </c>
      <c r="Q53" s="9">
        <v>-10.7928</v>
      </c>
      <c r="R53" s="9" t="str">
        <f t="shared" si="2"/>
        <v>***</v>
      </c>
      <c r="S53" s="9"/>
      <c r="T53" s="9" t="str">
        <f t="shared" si="2"/>
        <v>***</v>
      </c>
      <c r="U53" s="9"/>
      <c r="V53" s="9" t="str">
        <f t="shared" si="2"/>
        <v>***</v>
      </c>
      <c r="W53" s="9">
        <v>2.6084000000000001</v>
      </c>
      <c r="X53" s="9" t="str">
        <f t="shared" si="3"/>
        <v>***</v>
      </c>
      <c r="Y53" s="9">
        <v>2.4603999999999999</v>
      </c>
      <c r="Z53" s="9" t="str">
        <f t="shared" si="3"/>
        <v>***</v>
      </c>
      <c r="AA53" s="9"/>
      <c r="AB53" s="9" t="str">
        <f t="shared" si="3"/>
        <v>***</v>
      </c>
      <c r="AC53" s="9"/>
      <c r="AD53" s="9" t="str">
        <f t="shared" si="3"/>
        <v>***</v>
      </c>
    </row>
    <row r="54" spans="1:30" x14ac:dyDescent="0.25">
      <c r="B54" s="9">
        <v>0.67500000000000004</v>
      </c>
      <c r="C54" s="9" t="str">
        <f t="shared" si="0"/>
        <v/>
      </c>
      <c r="D54" s="9" t="str">
        <f>+CONCATENATE("(",ROUND(B54,3),")")</f>
        <v>(0,675)</v>
      </c>
      <c r="E54" s="9">
        <v>0.746</v>
      </c>
      <c r="F54" s="9" t="str">
        <f t="shared" si="0"/>
        <v/>
      </c>
      <c r="G54" s="9"/>
      <c r="H54" s="9" t="str">
        <f t="shared" si="0"/>
        <v/>
      </c>
      <c r="I54" s="9"/>
      <c r="J54" s="9" t="str">
        <f t="shared" si="0"/>
        <v/>
      </c>
      <c r="K54" s="9"/>
      <c r="L54" s="9" t="str">
        <f t="shared" si="0"/>
        <v/>
      </c>
      <c r="M54" s="9"/>
      <c r="N54" s="9" t="str">
        <f t="shared" si="2"/>
        <v/>
      </c>
      <c r="O54" s="9">
        <v>1.8919999999999999</v>
      </c>
      <c r="P54" s="9" t="str">
        <f t="shared" si="2"/>
        <v/>
      </c>
      <c r="Q54" s="9">
        <v>2.0019999999999998</v>
      </c>
      <c r="R54" s="9" t="str">
        <f t="shared" si="2"/>
        <v/>
      </c>
      <c r="S54" s="9"/>
      <c r="T54" s="9" t="str">
        <f t="shared" si="2"/>
        <v/>
      </c>
      <c r="U54" s="9"/>
      <c r="V54" s="9" t="str">
        <f t="shared" si="2"/>
        <v/>
      </c>
      <c r="W54" s="9">
        <v>0.67300000000000004</v>
      </c>
      <c r="X54" s="9" t="str">
        <f t="shared" si="3"/>
        <v/>
      </c>
      <c r="Y54" s="9">
        <v>0.753</v>
      </c>
      <c r="Z54" s="9" t="str">
        <f t="shared" si="3"/>
        <v/>
      </c>
      <c r="AA54" s="9"/>
      <c r="AB54" s="9" t="str">
        <f t="shared" si="3"/>
        <v/>
      </c>
      <c r="AC54" s="9"/>
      <c r="AD54" s="9" t="str">
        <f t="shared" si="3"/>
        <v/>
      </c>
    </row>
    <row r="55" spans="1:30" x14ac:dyDescent="0.25">
      <c r="B55" s="9">
        <v>0</v>
      </c>
      <c r="C55" s="9" t="str">
        <f t="shared" si="0"/>
        <v/>
      </c>
      <c r="D55" s="9"/>
      <c r="E55" s="9">
        <v>2E-3</v>
      </c>
      <c r="F55" s="9" t="str">
        <f t="shared" si="0"/>
        <v/>
      </c>
      <c r="G55" s="9"/>
      <c r="H55" s="9" t="str">
        <f t="shared" si="0"/>
        <v/>
      </c>
      <c r="I55" s="9"/>
      <c r="J55" s="9" t="str">
        <f t="shared" si="0"/>
        <v/>
      </c>
      <c r="K55" s="9"/>
      <c r="L55" s="9" t="str">
        <f t="shared" si="0"/>
        <v/>
      </c>
      <c r="M55" s="9"/>
      <c r="N55" s="9" t="str">
        <f t="shared" si="2"/>
        <v/>
      </c>
      <c r="O55" s="9">
        <v>0</v>
      </c>
      <c r="P55" s="9" t="str">
        <f t="shared" si="2"/>
        <v/>
      </c>
      <c r="Q55" s="9">
        <v>0</v>
      </c>
      <c r="R55" s="9" t="str">
        <f t="shared" si="2"/>
        <v/>
      </c>
      <c r="S55" s="9"/>
      <c r="T55" s="9" t="str">
        <f t="shared" si="2"/>
        <v/>
      </c>
      <c r="U55" s="9"/>
      <c r="V55" s="9" t="str">
        <f t="shared" si="2"/>
        <v/>
      </c>
      <c r="W55" s="9">
        <v>0</v>
      </c>
      <c r="X55" s="9" t="str">
        <f t="shared" si="3"/>
        <v/>
      </c>
      <c r="Y55" s="9">
        <v>1E-3</v>
      </c>
      <c r="Z55" s="9" t="str">
        <f t="shared" si="3"/>
        <v/>
      </c>
      <c r="AA55" s="9"/>
      <c r="AB55" s="9" t="str">
        <f t="shared" si="3"/>
        <v/>
      </c>
      <c r="AC55" s="9"/>
      <c r="AD55" s="9" t="str">
        <f t="shared" si="3"/>
        <v/>
      </c>
    </row>
    <row r="56" spans="1:30" x14ac:dyDescent="0.25">
      <c r="A56" t="s">
        <v>47</v>
      </c>
      <c r="B56" s="9">
        <v>1.963E-5</v>
      </c>
      <c r="C56" s="9" t="str">
        <f t="shared" si="0"/>
        <v/>
      </c>
      <c r="D56" s="9" t="str">
        <f>+CONCATENATE(ROUND(B56,3), " ",C56)</f>
        <v xml:space="preserve">0 </v>
      </c>
      <c r="E56" s="9">
        <v>4.6639999999999997E-6</v>
      </c>
      <c r="F56" s="9" t="str">
        <f t="shared" si="0"/>
        <v/>
      </c>
      <c r="G56" s="9"/>
      <c r="H56" s="9" t="str">
        <f t="shared" si="0"/>
        <v>***</v>
      </c>
      <c r="I56" s="9"/>
      <c r="J56" s="9" t="str">
        <f t="shared" si="0"/>
        <v>***</v>
      </c>
      <c r="K56" s="9">
        <v>5.2269999999999999E-5</v>
      </c>
      <c r="L56" s="9" t="str">
        <f t="shared" si="0"/>
        <v/>
      </c>
      <c r="M56" s="9">
        <v>8.9859999999999997E-5</v>
      </c>
      <c r="N56" s="9" t="str">
        <f t="shared" si="2"/>
        <v/>
      </c>
      <c r="O56" s="9">
        <v>8.9999999999999998E-4</v>
      </c>
      <c r="P56" s="9" t="str">
        <f t="shared" si="2"/>
        <v>**</v>
      </c>
      <c r="Q56" s="9">
        <v>1E-3</v>
      </c>
      <c r="R56" s="9" t="str">
        <f t="shared" si="2"/>
        <v>***</v>
      </c>
      <c r="S56" s="9"/>
      <c r="T56" s="9" t="str">
        <f t="shared" si="2"/>
        <v>***</v>
      </c>
      <c r="U56" s="9"/>
      <c r="V56" s="9" t="str">
        <f t="shared" si="2"/>
        <v>***</v>
      </c>
      <c r="W56" s="9"/>
      <c r="X56" s="9" t="str">
        <f t="shared" si="3"/>
        <v>***</v>
      </c>
      <c r="Y56" s="9"/>
      <c r="Z56" s="9" t="str">
        <f t="shared" si="3"/>
        <v>***</v>
      </c>
      <c r="AA56" s="9"/>
      <c r="AB56" s="9" t="str">
        <f t="shared" si="3"/>
        <v>***</v>
      </c>
      <c r="AC56" s="9"/>
      <c r="AD56" s="9" t="str">
        <f t="shared" si="3"/>
        <v>***</v>
      </c>
    </row>
    <row r="57" spans="1:30" x14ac:dyDescent="0.25">
      <c r="B57" s="9">
        <v>0</v>
      </c>
      <c r="C57" s="9" t="str">
        <f t="shared" si="0"/>
        <v/>
      </c>
      <c r="D57" s="9" t="str">
        <f>+CONCATENATE("(",ROUND(B57,3),")")</f>
        <v>(0)</v>
      </c>
      <c r="E57" s="9">
        <v>0</v>
      </c>
      <c r="F57" s="9" t="str">
        <f t="shared" si="0"/>
        <v/>
      </c>
      <c r="G57" s="9"/>
      <c r="H57" s="9" t="str">
        <f t="shared" si="0"/>
        <v/>
      </c>
      <c r="I57" s="9"/>
      <c r="J57" s="9" t="str">
        <f t="shared" si="0"/>
        <v/>
      </c>
      <c r="K57" s="9">
        <v>0</v>
      </c>
      <c r="L57" s="9" t="str">
        <f t="shared" si="0"/>
        <v/>
      </c>
      <c r="M57" s="9">
        <v>0</v>
      </c>
      <c r="N57" s="9" t="str">
        <f t="shared" si="2"/>
        <v/>
      </c>
      <c r="O57" s="9">
        <v>0</v>
      </c>
      <c r="P57" s="9" t="str">
        <f t="shared" si="2"/>
        <v/>
      </c>
      <c r="Q57" s="9">
        <v>0</v>
      </c>
      <c r="R57" s="9" t="str">
        <f t="shared" si="2"/>
        <v/>
      </c>
      <c r="S57" s="9"/>
      <c r="T57" s="9" t="str">
        <f t="shared" si="2"/>
        <v/>
      </c>
      <c r="U57" s="9"/>
      <c r="V57" s="9" t="str">
        <f t="shared" si="2"/>
        <v/>
      </c>
      <c r="W57" s="9"/>
      <c r="X57" s="9" t="str">
        <f t="shared" si="3"/>
        <v/>
      </c>
      <c r="Y57" s="9"/>
      <c r="Z57" s="9" t="str">
        <f t="shared" si="3"/>
        <v/>
      </c>
      <c r="AA57" s="9"/>
      <c r="AB57" s="9" t="str">
        <f t="shared" si="3"/>
        <v/>
      </c>
      <c r="AC57" s="9"/>
      <c r="AD57" s="9" t="str">
        <f t="shared" si="3"/>
        <v/>
      </c>
    </row>
    <row r="58" spans="1:30" x14ac:dyDescent="0.25">
      <c r="A58" s="3"/>
      <c r="B58" s="10">
        <v>0.873</v>
      </c>
      <c r="C58" s="9" t="str">
        <f t="shared" si="0"/>
        <v/>
      </c>
      <c r="D58" s="9"/>
      <c r="E58" s="10">
        <v>0.96599999999999997</v>
      </c>
      <c r="F58" s="9" t="str">
        <f t="shared" si="0"/>
        <v/>
      </c>
      <c r="G58" s="10"/>
      <c r="H58" s="9" t="str">
        <f t="shared" si="0"/>
        <v/>
      </c>
      <c r="I58" s="10"/>
      <c r="J58" s="9" t="str">
        <f t="shared" si="0"/>
        <v/>
      </c>
      <c r="K58" s="10">
        <v>0.64300000000000002</v>
      </c>
      <c r="L58" s="9" t="str">
        <f t="shared" si="0"/>
        <v/>
      </c>
      <c r="M58" s="10">
        <v>0.38500000000000001</v>
      </c>
      <c r="N58" s="9" t="str">
        <f t="shared" si="2"/>
        <v/>
      </c>
      <c r="O58" s="10">
        <v>1.6E-2</v>
      </c>
      <c r="P58" s="9" t="str">
        <f t="shared" si="2"/>
        <v/>
      </c>
      <c r="Q58" s="10">
        <v>3.0000000000000001E-3</v>
      </c>
      <c r="R58" s="9" t="str">
        <f t="shared" si="2"/>
        <v/>
      </c>
      <c r="S58" s="10"/>
      <c r="T58" s="9" t="str">
        <f t="shared" si="2"/>
        <v/>
      </c>
      <c r="U58" s="10"/>
      <c r="V58" s="9" t="str">
        <f t="shared" si="2"/>
        <v/>
      </c>
      <c r="W58" s="10"/>
      <c r="X58" s="9" t="str">
        <f t="shared" si="3"/>
        <v/>
      </c>
      <c r="Y58" s="10"/>
      <c r="Z58" s="9" t="str">
        <f t="shared" si="3"/>
        <v/>
      </c>
      <c r="AA58" s="10"/>
      <c r="AB58" s="9" t="str">
        <f t="shared" si="3"/>
        <v/>
      </c>
      <c r="AC58" s="10"/>
      <c r="AD58" s="9" t="str">
        <f t="shared" si="3"/>
        <v/>
      </c>
    </row>
    <row r="59" spans="1:3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5">
      <c r="A60" s="2" t="s">
        <v>21</v>
      </c>
      <c r="B60" s="4" t="s">
        <v>22</v>
      </c>
      <c r="C60" s="4"/>
      <c r="D60" s="4"/>
      <c r="E60" s="4" t="s">
        <v>23</v>
      </c>
      <c r="F60" s="4"/>
      <c r="G60" s="4" t="s">
        <v>22</v>
      </c>
      <c r="H60" s="4"/>
      <c r="I60" s="4" t="s">
        <v>23</v>
      </c>
      <c r="J60" s="4"/>
      <c r="K60" s="4" t="s">
        <v>22</v>
      </c>
      <c r="L60" s="4"/>
      <c r="M60" s="4" t="s">
        <v>23</v>
      </c>
      <c r="N60" s="4"/>
      <c r="O60" s="4" t="s">
        <v>22</v>
      </c>
      <c r="P60" s="4"/>
      <c r="Q60" s="4" t="s">
        <v>23</v>
      </c>
      <c r="R60" s="4"/>
      <c r="S60" s="4" t="s">
        <v>22</v>
      </c>
      <c r="T60" s="4"/>
      <c r="U60" s="4" t="s">
        <v>23</v>
      </c>
      <c r="V60" s="4"/>
      <c r="W60" s="4" t="s">
        <v>22</v>
      </c>
      <c r="X60" s="4"/>
      <c r="Y60" s="4" t="s">
        <v>23</v>
      </c>
      <c r="Z60" s="4"/>
      <c r="AA60" s="4" t="s">
        <v>22</v>
      </c>
      <c r="AB60" s="4"/>
      <c r="AC60" s="4" t="s">
        <v>23</v>
      </c>
      <c r="AD60" s="4"/>
    </row>
    <row r="61" spans="1:3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5">
      <c r="A62" t="s">
        <v>24</v>
      </c>
      <c r="B62" s="5">
        <v>576.54999999999995</v>
      </c>
      <c r="C62" s="5"/>
      <c r="D62" s="5"/>
      <c r="E62" s="5">
        <v>111.34</v>
      </c>
      <c r="F62" s="5"/>
      <c r="G62" s="5">
        <v>205.77</v>
      </c>
      <c r="H62" s="5"/>
      <c r="I62" s="5">
        <v>119.51</v>
      </c>
      <c r="J62" s="5"/>
      <c r="K62" s="5">
        <v>124.17</v>
      </c>
      <c r="L62" s="5"/>
      <c r="M62" s="5">
        <v>16.96</v>
      </c>
      <c r="N62" s="5"/>
      <c r="O62" s="5">
        <v>99.05</v>
      </c>
      <c r="P62" s="5"/>
      <c r="Q62" s="5">
        <v>19.27</v>
      </c>
      <c r="R62" s="5"/>
      <c r="S62" s="5">
        <v>69.59</v>
      </c>
      <c r="T62" s="5"/>
      <c r="U62" s="5">
        <v>108.76</v>
      </c>
      <c r="V62" s="5"/>
      <c r="W62" s="5">
        <v>958.39</v>
      </c>
      <c r="X62" s="5"/>
      <c r="Y62" s="5">
        <v>22.09</v>
      </c>
      <c r="Z62" s="5"/>
      <c r="AA62" s="5">
        <v>141.11000000000001</v>
      </c>
      <c r="AB62" s="5"/>
      <c r="AC62" s="5">
        <v>99.6</v>
      </c>
      <c r="AD62" s="5"/>
    </row>
    <row r="63" spans="1:30" x14ac:dyDescent="0.25">
      <c r="A63" t="s">
        <v>25</v>
      </c>
      <c r="B63" s="5">
        <v>3901.02</v>
      </c>
      <c r="C63" s="5"/>
      <c r="D63" s="5"/>
      <c r="E63" s="5">
        <v>358.1</v>
      </c>
      <c r="F63" s="5"/>
      <c r="G63" s="5">
        <v>494.79</v>
      </c>
      <c r="H63" s="5"/>
      <c r="I63" s="5">
        <v>345.84</v>
      </c>
      <c r="J63" s="5"/>
      <c r="K63" s="5">
        <v>480.56</v>
      </c>
      <c r="L63" s="5"/>
      <c r="M63" s="5">
        <v>41.44</v>
      </c>
      <c r="N63" s="5"/>
      <c r="O63" s="5">
        <v>492.85</v>
      </c>
      <c r="P63" s="5"/>
      <c r="Q63" s="5">
        <v>64.5</v>
      </c>
      <c r="R63" s="5"/>
      <c r="S63" s="5">
        <v>334.31</v>
      </c>
      <c r="T63" s="5"/>
      <c r="U63" s="5">
        <v>350.13</v>
      </c>
      <c r="V63" s="5"/>
      <c r="W63" s="5">
        <v>3838.61</v>
      </c>
      <c r="X63" s="5"/>
      <c r="Y63" s="5">
        <v>263.06</v>
      </c>
      <c r="Z63" s="5"/>
      <c r="AA63" s="5">
        <v>482.5</v>
      </c>
      <c r="AB63" s="5"/>
      <c r="AC63" s="5">
        <v>279.33999999999997</v>
      </c>
      <c r="AD63" s="5"/>
    </row>
    <row r="64" spans="1:30" x14ac:dyDescent="0.25">
      <c r="A64" t="s">
        <v>26</v>
      </c>
      <c r="B64" s="6">
        <v>0.70588235294117652</v>
      </c>
      <c r="C64" s="6"/>
      <c r="D64" s="6"/>
      <c r="E64" s="6">
        <v>0.7142857142857143</v>
      </c>
      <c r="F64" s="6"/>
      <c r="G64" s="6">
        <v>0.75</v>
      </c>
      <c r="H64" s="6"/>
      <c r="I64" s="6">
        <v>0.81818181818181823</v>
      </c>
      <c r="J64" s="6"/>
      <c r="K64" s="6">
        <v>0.625</v>
      </c>
      <c r="L64" s="6"/>
      <c r="M64" s="6">
        <v>0.72727272727272729</v>
      </c>
      <c r="N64" s="6"/>
      <c r="O64" s="6">
        <v>0.63636363636363635</v>
      </c>
      <c r="P64" s="6"/>
      <c r="Q64" s="6">
        <v>0.69444444444444442</v>
      </c>
      <c r="R64" s="6"/>
      <c r="S64" s="6">
        <v>0.54545454545454541</v>
      </c>
      <c r="T64" s="6"/>
      <c r="U64" s="6">
        <v>0.69444444444444442</v>
      </c>
      <c r="V64" s="6"/>
      <c r="W64" s="6">
        <v>0.77777777777777779</v>
      </c>
      <c r="X64" s="6"/>
      <c r="Y64" s="6">
        <v>0.29411764705882348</v>
      </c>
      <c r="Z64" s="6"/>
      <c r="AA64" s="6">
        <v>0.5714285714285714</v>
      </c>
      <c r="AB64" s="6"/>
      <c r="AC64" s="6">
        <v>0.84375</v>
      </c>
      <c r="AD64" s="6"/>
    </row>
    <row r="65" spans="1:30" x14ac:dyDescent="0.25">
      <c r="A65" s="3" t="s">
        <v>27</v>
      </c>
      <c r="B65" s="7">
        <v>0.23529411764705879</v>
      </c>
      <c r="C65" s="7"/>
      <c r="D65" s="7"/>
      <c r="E65" s="7">
        <v>0.5</v>
      </c>
      <c r="F65" s="7"/>
      <c r="G65" s="7">
        <v>0.5</v>
      </c>
      <c r="H65" s="7"/>
      <c r="I65" s="7">
        <v>0.51515151515151514</v>
      </c>
      <c r="J65" s="7"/>
      <c r="K65" s="7">
        <v>0.25</v>
      </c>
      <c r="L65" s="7"/>
      <c r="M65" s="7">
        <v>0.51515151515151514</v>
      </c>
      <c r="N65" s="7"/>
      <c r="O65" s="7">
        <v>0.1818181818181818</v>
      </c>
      <c r="P65" s="7"/>
      <c r="Q65" s="7">
        <v>0.5</v>
      </c>
      <c r="R65" s="7"/>
      <c r="S65" s="7">
        <v>0.1818181818181818</v>
      </c>
      <c r="T65" s="7"/>
      <c r="U65" s="7">
        <v>0.52777777777777779</v>
      </c>
      <c r="V65" s="7"/>
      <c r="W65" s="7">
        <v>0.22222222222222221</v>
      </c>
      <c r="X65" s="7"/>
      <c r="Y65" s="7">
        <v>0.1470588235294118</v>
      </c>
      <c r="Z65" s="7"/>
      <c r="AA65" s="7">
        <v>0.2857142857142857</v>
      </c>
      <c r="AB65" s="7"/>
      <c r="AC65" s="7">
        <v>0.46875</v>
      </c>
      <c r="AD65" s="7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D65"/>
  <sheetViews>
    <sheetView workbookViewId="0">
      <selection activeCell="D1" sqref="D1:D1048576"/>
    </sheetView>
  </sheetViews>
  <sheetFormatPr baseColWidth="10" defaultColWidth="9.140625" defaultRowHeight="15" x14ac:dyDescent="0.25"/>
  <cols>
    <col min="1" max="1" width="76.85546875" bestFit="1" customWidth="1"/>
    <col min="3" max="4" width="10.7109375" customWidth="1"/>
    <col min="6" max="6" width="10.7109375" customWidth="1"/>
    <col min="8" max="8" width="10.7109375" customWidth="1"/>
    <col min="10" max="10" width="10.7109375" customWidth="1"/>
    <col min="12" max="12" width="10.7109375" customWidth="1"/>
    <col min="14" max="14" width="10.7109375" customWidth="1"/>
    <col min="16" max="16" width="10.7109375" customWidth="1"/>
    <col min="18" max="18" width="10.7109375" customWidth="1"/>
    <col min="20" max="20" width="10.7109375" customWidth="1"/>
    <col min="22" max="22" width="10.7109375" customWidth="1"/>
    <col min="24" max="24" width="10.7109375" customWidth="1"/>
    <col min="26" max="26" width="10.7109375" customWidth="1"/>
    <col min="28" max="28" width="10.7109375" customWidth="1"/>
    <col min="30" max="30" width="10.7109375" customWidth="1"/>
  </cols>
  <sheetData>
    <row r="1" spans="1:30" x14ac:dyDescent="0.25">
      <c r="A1" s="12" t="s">
        <v>0</v>
      </c>
      <c r="B1" s="1" t="s">
        <v>1</v>
      </c>
      <c r="C1" s="1"/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  <c r="M1" s="1" t="s">
        <v>6</v>
      </c>
      <c r="N1" s="1"/>
      <c r="O1" s="1" t="s">
        <v>7</v>
      </c>
      <c r="P1" s="1"/>
      <c r="Q1" s="1" t="s">
        <v>8</v>
      </c>
      <c r="R1" s="1"/>
      <c r="S1" s="1" t="s">
        <v>9</v>
      </c>
      <c r="T1" s="1"/>
      <c r="U1" s="1" t="s">
        <v>10</v>
      </c>
      <c r="V1" s="1"/>
      <c r="W1" s="1" t="s">
        <v>11</v>
      </c>
      <c r="X1" s="1"/>
      <c r="Y1" s="1" t="s">
        <v>12</v>
      </c>
      <c r="Z1" s="1"/>
      <c r="AA1" s="1" t="s">
        <v>13</v>
      </c>
      <c r="AB1" s="1"/>
      <c r="AC1" s="1" t="s">
        <v>14</v>
      </c>
      <c r="AD1" s="1"/>
    </row>
    <row r="2" spans="1:30" x14ac:dyDescent="0.25">
      <c r="A2" s="2" t="s">
        <v>15</v>
      </c>
      <c r="B2" s="4" t="s">
        <v>29</v>
      </c>
      <c r="C2" s="4"/>
      <c r="D2" s="4"/>
      <c r="E2" s="4" t="s">
        <v>29</v>
      </c>
      <c r="F2" s="4"/>
      <c r="G2" s="4" t="s">
        <v>29</v>
      </c>
      <c r="H2" s="4"/>
      <c r="I2" s="4" t="s">
        <v>29</v>
      </c>
      <c r="J2" s="4"/>
      <c r="K2" s="4" t="s">
        <v>29</v>
      </c>
      <c r="L2" s="4"/>
      <c r="M2" s="4" t="s">
        <v>29</v>
      </c>
      <c r="N2" s="4"/>
      <c r="O2" s="4" t="s">
        <v>29</v>
      </c>
      <c r="P2" s="4"/>
      <c r="Q2" s="4" t="s">
        <v>29</v>
      </c>
      <c r="R2" s="4"/>
      <c r="S2" s="4" t="s">
        <v>29</v>
      </c>
      <c r="T2" s="4"/>
      <c r="U2" s="4" t="s">
        <v>29</v>
      </c>
      <c r="V2" s="4"/>
      <c r="W2" s="4" t="s">
        <v>29</v>
      </c>
      <c r="X2" s="4"/>
      <c r="Y2" s="4" t="s">
        <v>29</v>
      </c>
      <c r="Z2" s="4"/>
      <c r="AA2" s="4" t="s">
        <v>29</v>
      </c>
      <c r="AB2" s="4"/>
      <c r="AC2" s="4" t="s">
        <v>29</v>
      </c>
      <c r="AD2" s="4"/>
    </row>
    <row r="3" spans="1:3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t="s">
        <v>17</v>
      </c>
      <c r="B4" s="8" t="s">
        <v>30</v>
      </c>
      <c r="C4" s="8"/>
      <c r="D4" s="8"/>
      <c r="E4" s="8" t="s">
        <v>30</v>
      </c>
      <c r="F4" s="8"/>
      <c r="G4" s="8" t="s">
        <v>30</v>
      </c>
      <c r="H4" s="8"/>
      <c r="I4" s="8" t="s">
        <v>30</v>
      </c>
      <c r="J4" s="8"/>
      <c r="K4" s="8" t="s">
        <v>30</v>
      </c>
      <c r="L4" s="8"/>
      <c r="M4" s="8" t="s">
        <v>30</v>
      </c>
      <c r="N4" s="8"/>
      <c r="O4" s="8" t="s">
        <v>30</v>
      </c>
      <c r="P4" s="8"/>
      <c r="Q4" s="8" t="s">
        <v>30</v>
      </c>
      <c r="R4" s="8"/>
      <c r="S4" s="8" t="s">
        <v>30</v>
      </c>
      <c r="T4" s="8"/>
      <c r="U4" s="8" t="s">
        <v>30</v>
      </c>
      <c r="V4" s="8"/>
      <c r="W4" s="8" t="s">
        <v>30</v>
      </c>
      <c r="X4" s="8"/>
      <c r="Y4" s="8" t="s">
        <v>30</v>
      </c>
      <c r="Z4" s="8"/>
      <c r="AA4" s="8" t="s">
        <v>30</v>
      </c>
      <c r="AB4" s="8"/>
      <c r="AC4" s="8" t="s">
        <v>30</v>
      </c>
      <c r="AD4" s="8"/>
    </row>
    <row r="5" spans="1:30" x14ac:dyDescent="0.25">
      <c r="A5" t="s">
        <v>19</v>
      </c>
      <c r="B5" s="6">
        <v>0.78500000000000003</v>
      </c>
      <c r="C5" s="6"/>
      <c r="D5" s="6"/>
      <c r="E5" s="6">
        <v>0.82499999999999996</v>
      </c>
      <c r="F5" s="6"/>
      <c r="G5" s="6">
        <v>0.77800000000000002</v>
      </c>
      <c r="H5" s="6"/>
      <c r="I5" s="6">
        <v>0.82099999999999995</v>
      </c>
      <c r="J5" s="6"/>
      <c r="K5" s="6">
        <v>0.70299999999999996</v>
      </c>
      <c r="L5" s="6"/>
      <c r="M5" s="6">
        <v>0.77600000000000002</v>
      </c>
      <c r="N5" s="6"/>
      <c r="O5" s="6">
        <v>0.55200000000000005</v>
      </c>
      <c r="P5" s="6"/>
      <c r="Q5" s="6">
        <v>0.67800000000000005</v>
      </c>
      <c r="R5" s="6"/>
      <c r="S5" s="6">
        <v>0.47899999999999998</v>
      </c>
      <c r="T5" s="6"/>
      <c r="U5" s="6">
        <v>0.61799999999999999</v>
      </c>
      <c r="V5" s="6"/>
      <c r="W5" s="6">
        <v>0.71099999999999997</v>
      </c>
      <c r="X5" s="6"/>
      <c r="Y5" s="6">
        <v>0.77800000000000002</v>
      </c>
      <c r="Z5" s="6"/>
      <c r="AA5" s="6">
        <v>0.69299999999999995</v>
      </c>
      <c r="AB5" s="6"/>
      <c r="AC5" s="6">
        <v>0.76400000000000001</v>
      </c>
      <c r="AD5" s="6"/>
    </row>
    <row r="6" spans="1:30" x14ac:dyDescent="0.25">
      <c r="A6" s="3" t="s">
        <v>20</v>
      </c>
      <c r="B6" s="7">
        <v>0.77700000000000002</v>
      </c>
      <c r="C6" s="7"/>
      <c r="D6" s="7"/>
      <c r="E6" s="7">
        <v>0.80700000000000005</v>
      </c>
      <c r="F6" s="7"/>
      <c r="G6" s="7">
        <v>0.77500000000000002</v>
      </c>
      <c r="H6" s="7"/>
      <c r="I6" s="7">
        <v>0.80700000000000005</v>
      </c>
      <c r="J6" s="7"/>
      <c r="K6" s="7">
        <v>0.69799999999999995</v>
      </c>
      <c r="L6" s="7"/>
      <c r="M6" s="7">
        <v>0.75800000000000001</v>
      </c>
      <c r="N6" s="7"/>
      <c r="O6" s="7">
        <v>0.54100000000000004</v>
      </c>
      <c r="P6" s="7"/>
      <c r="Q6" s="7">
        <v>0.65</v>
      </c>
      <c r="R6" s="7"/>
      <c r="S6" s="7">
        <v>0.46600000000000003</v>
      </c>
      <c r="T6" s="7"/>
      <c r="U6" s="7">
        <v>0.58399999999999996</v>
      </c>
      <c r="V6" s="7"/>
      <c r="W6" s="7">
        <v>0.70599999999999996</v>
      </c>
      <c r="X6" s="7"/>
      <c r="Y6" s="7">
        <v>0.76</v>
      </c>
      <c r="Z6" s="7"/>
      <c r="AA6" s="7">
        <v>0.68899999999999995</v>
      </c>
      <c r="AB6" s="7"/>
      <c r="AC6" s="7">
        <v>0.747</v>
      </c>
      <c r="AD6" s="7"/>
    </row>
    <row r="7" spans="1:3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13" t="s">
        <v>31</v>
      </c>
      <c r="B8" s="9">
        <v>-1.6000000000000001E-3</v>
      </c>
      <c r="C8" s="9" t="str">
        <f>+IF($A8&lt;&gt;"",IF(B10&lt;0.01,"***",IF(B10&lt;0.05,"**",IF(B10&lt;0.1,"*",""))),"")</f>
        <v/>
      </c>
      <c r="D8" s="9" t="str">
        <f>+CONCATENATE(ROUND(B8,3), " ",C8)</f>
        <v xml:space="preserve">-0,002 </v>
      </c>
      <c r="E8" s="9">
        <v>-1.0999999999999999E-2</v>
      </c>
      <c r="F8" s="9" t="str">
        <f>+IF($A8&lt;&gt;"",IF(E10&lt;0.01,"***",IF(E10&lt;0.05,"**",IF(E10&lt;0.1,"*",""))),"")</f>
        <v/>
      </c>
      <c r="G8" s="9">
        <v>4.4999999999999997E-3</v>
      </c>
      <c r="H8" s="9" t="str">
        <f>+IF($A8&lt;&gt;"",IF(G10&lt;0.01,"***",IF(G10&lt;0.05,"**",IF(G10&lt;0.1,"*",""))),"")</f>
        <v/>
      </c>
      <c r="I8" s="9">
        <v>-5.8999999999999999E-3</v>
      </c>
      <c r="J8" s="9" t="str">
        <f>+IF($A8&lt;&gt;"",IF(I10&lt;0.01,"***",IF(I10&lt;0.05,"**",IF(I10&lt;0.1,"*",""))),"")</f>
        <v/>
      </c>
      <c r="K8" s="9">
        <v>-3.1199999999999999E-2</v>
      </c>
      <c r="L8" s="9" t="str">
        <f>+IF($A8&lt;&gt;"",IF(K10&lt;0.01,"***",IF(K10&lt;0.05,"**",IF(K10&lt;0.1,"*",""))),"")</f>
        <v>***</v>
      </c>
      <c r="M8" s="9">
        <v>-2.5899999999999999E-2</v>
      </c>
      <c r="N8" s="9" t="str">
        <f>+IF($A8&lt;&gt;"",IF(M10&lt;0.01,"***",IF(M10&lt;0.05,"**",IF(M10&lt;0.1,"*",""))),"")</f>
        <v>***</v>
      </c>
      <c r="O8" s="9">
        <v>1.06E-2</v>
      </c>
      <c r="P8" s="9" t="str">
        <f>+IF($A8&lt;&gt;"",IF(O10&lt;0.01,"***",IF(O10&lt;0.05,"**",IF(O10&lt;0.1,"*",""))),"")</f>
        <v/>
      </c>
      <c r="Q8" s="9">
        <v>-2.3999999999999998E-3</v>
      </c>
      <c r="R8" s="9" t="str">
        <f>+IF($A8&lt;&gt;"",IF(Q10&lt;0.01,"***",IF(Q10&lt;0.05,"**",IF(Q10&lt;0.1,"*",""))),"")</f>
        <v/>
      </c>
      <c r="S8" s="9">
        <v>-0.13689999999999999</v>
      </c>
      <c r="T8" s="9" t="str">
        <f>+IF($A8&lt;&gt;"",IF(S10&lt;0.01,"***",IF(S10&lt;0.05,"**",IF(S10&lt;0.1,"*",""))),"")</f>
        <v>***</v>
      </c>
      <c r="U8" s="9">
        <v>-6.9099999999999995E-2</v>
      </c>
      <c r="V8" s="9" t="str">
        <f>+IF($A8&lt;&gt;"",IF(U10&lt;0.01,"***",IF(U10&lt;0.05,"**",IF(U10&lt;0.1,"*",""))),"")</f>
        <v>**</v>
      </c>
      <c r="W8" s="9">
        <v>-3.6799999999999999E-2</v>
      </c>
      <c r="X8" s="9" t="str">
        <f>+IF($A8&lt;&gt;"",IF(W10&lt;0.01,"***",IF(W10&lt;0.05,"**",IF(W10&lt;0.1,"*",""))),"")</f>
        <v/>
      </c>
      <c r="Y8" s="9">
        <v>-0.04</v>
      </c>
      <c r="Z8" s="9" t="str">
        <f>+IF($A8&lt;&gt;"",IF(Y10&lt;0.01,"***",IF(Y10&lt;0.05,"**",IF(Y10&lt;0.1,"*",""))),"")</f>
        <v>*</v>
      </c>
      <c r="AA8" s="9">
        <v>-4.1599999999999998E-2</v>
      </c>
      <c r="AB8" s="9" t="str">
        <f>+IF($A8&lt;&gt;"",IF(AA10&lt;0.01,"***",IF(AA10&lt;0.05,"**",IF(AA10&lt;0.1,"*",""))),"")</f>
        <v>*</v>
      </c>
      <c r="AC8" s="9">
        <v>-4.7300000000000002E-2</v>
      </c>
      <c r="AD8" s="9" t="str">
        <f>+IF($A8&lt;&gt;"",IF(AC10&lt;0.01,"***",IF(AC10&lt;0.05,"**",IF(AC10&lt;0.1,"*",""))),"")</f>
        <v>**</v>
      </c>
    </row>
    <row r="9" spans="1:30" x14ac:dyDescent="0.25">
      <c r="A9" s="14"/>
      <c r="B9" s="9">
        <v>2.4E-2</v>
      </c>
      <c r="C9" s="9" t="str">
        <f t="shared" ref="C9:N58" si="0">+IF($A9&lt;&gt;"",IF(B11&lt;0.01,"***",IF(B11&lt;0.05,"**",IF(B11&lt;0.1,"*",""))),"")</f>
        <v/>
      </c>
      <c r="D9" s="9" t="str">
        <f>+CONCATENATE("(",ROUND(B9,3),")")</f>
        <v>(0,024)</v>
      </c>
      <c r="E9" s="9">
        <v>2.3E-2</v>
      </c>
      <c r="F9" s="9" t="str">
        <f t="shared" si="0"/>
        <v/>
      </c>
      <c r="G9" s="9">
        <v>2.3E-2</v>
      </c>
      <c r="H9" s="9" t="str">
        <f t="shared" si="0"/>
        <v/>
      </c>
      <c r="I9" s="9">
        <v>2.1999999999999999E-2</v>
      </c>
      <c r="J9" s="9" t="str">
        <f t="shared" si="0"/>
        <v/>
      </c>
      <c r="K9" s="9">
        <v>8.9999999999999993E-3</v>
      </c>
      <c r="L9" s="9" t="str">
        <f t="shared" si="0"/>
        <v/>
      </c>
      <c r="M9" s="9">
        <v>8.9999999999999993E-3</v>
      </c>
      <c r="N9" s="9" t="str">
        <f t="shared" si="0"/>
        <v/>
      </c>
      <c r="O9" s="9">
        <v>1.2E-2</v>
      </c>
      <c r="P9" s="9" t="str">
        <f t="shared" ref="P9:AD43" si="1">+IF($A9&lt;&gt;"",IF(O11&lt;0.01,"***",IF(O11&lt;0.05,"**",IF(O11&lt;0.1,"*",""))),"")</f>
        <v/>
      </c>
      <c r="Q9" s="9">
        <v>1.0999999999999999E-2</v>
      </c>
      <c r="R9" s="9" t="str">
        <f t="shared" si="1"/>
        <v/>
      </c>
      <c r="S9" s="9">
        <v>3.5999999999999997E-2</v>
      </c>
      <c r="T9" s="9" t="str">
        <f t="shared" si="1"/>
        <v/>
      </c>
      <c r="U9" s="9">
        <v>3.3000000000000002E-2</v>
      </c>
      <c r="V9" s="9" t="str">
        <f t="shared" si="1"/>
        <v/>
      </c>
      <c r="W9" s="9">
        <v>2.4E-2</v>
      </c>
      <c r="X9" s="9" t="str">
        <f t="shared" si="1"/>
        <v/>
      </c>
      <c r="Y9" s="9">
        <v>2.3E-2</v>
      </c>
      <c r="Z9" s="9" t="str">
        <f t="shared" si="1"/>
        <v/>
      </c>
      <c r="AA9" s="9">
        <v>2.4E-2</v>
      </c>
      <c r="AB9" s="9" t="str">
        <f t="shared" si="1"/>
        <v/>
      </c>
      <c r="AC9" s="9">
        <v>2.3E-2</v>
      </c>
      <c r="AD9" s="9" t="str">
        <f t="shared" si="1"/>
        <v/>
      </c>
    </row>
    <row r="10" spans="1:30" x14ac:dyDescent="0.25">
      <c r="A10" s="14"/>
      <c r="B10" s="9">
        <v>0.94799999999999995</v>
      </c>
      <c r="C10" s="9" t="str">
        <f t="shared" si="0"/>
        <v/>
      </c>
      <c r="D10" s="9"/>
      <c r="E10" s="9">
        <v>0.63</v>
      </c>
      <c r="F10" s="9" t="str">
        <f t="shared" si="0"/>
        <v/>
      </c>
      <c r="G10" s="9">
        <v>0.84599999999999997</v>
      </c>
      <c r="H10" s="9" t="str">
        <f t="shared" si="0"/>
        <v/>
      </c>
      <c r="I10" s="9">
        <v>0.79300000000000004</v>
      </c>
      <c r="J10" s="9" t="str">
        <f t="shared" si="0"/>
        <v/>
      </c>
      <c r="K10" s="9">
        <v>1E-3</v>
      </c>
      <c r="L10" s="9" t="str">
        <f t="shared" si="0"/>
        <v/>
      </c>
      <c r="M10" s="9">
        <v>3.0000000000000001E-3</v>
      </c>
      <c r="N10" s="9" t="str">
        <f t="shared" si="0"/>
        <v/>
      </c>
      <c r="O10" s="9">
        <v>0.38300000000000001</v>
      </c>
      <c r="P10" s="9" t="str">
        <f t="shared" si="1"/>
        <v/>
      </c>
      <c r="Q10" s="9">
        <v>0.82899999999999996</v>
      </c>
      <c r="R10" s="9" t="str">
        <f t="shared" si="1"/>
        <v/>
      </c>
      <c r="S10" s="9">
        <v>0</v>
      </c>
      <c r="T10" s="9" t="str">
        <f t="shared" si="1"/>
        <v/>
      </c>
      <c r="U10" s="9">
        <v>3.5999999999999997E-2</v>
      </c>
      <c r="V10" s="9" t="str">
        <f t="shared" si="1"/>
        <v/>
      </c>
      <c r="W10" s="9">
        <v>0.13</v>
      </c>
      <c r="X10" s="9" t="str">
        <f t="shared" si="1"/>
        <v/>
      </c>
      <c r="Y10" s="9">
        <v>8.2000000000000003E-2</v>
      </c>
      <c r="Z10" s="9" t="str">
        <f t="shared" si="1"/>
        <v/>
      </c>
      <c r="AA10" s="9">
        <v>0.08</v>
      </c>
      <c r="AB10" s="9" t="str">
        <f t="shared" si="1"/>
        <v/>
      </c>
      <c r="AC10" s="9">
        <v>4.1000000000000002E-2</v>
      </c>
      <c r="AD10" s="9" t="str">
        <f t="shared" si="1"/>
        <v/>
      </c>
    </row>
    <row r="11" spans="1:30" x14ac:dyDescent="0.25">
      <c r="A11" t="s">
        <v>32</v>
      </c>
      <c r="B11" s="9">
        <v>7.7279999999999995E-6</v>
      </c>
      <c r="C11" s="9" t="str">
        <f t="shared" si="0"/>
        <v>**</v>
      </c>
      <c r="D11" s="9" t="str">
        <f>+CONCATENATE(ROUND(B11,3), " ",C11)</f>
        <v>0 **</v>
      </c>
      <c r="E11" s="9">
        <v>8.2900000000000002E-6</v>
      </c>
      <c r="F11" s="9" t="str">
        <f t="shared" si="0"/>
        <v>**</v>
      </c>
      <c r="G11" s="9">
        <v>8.1580000000000005E-6</v>
      </c>
      <c r="H11" s="9" t="str">
        <f t="shared" si="0"/>
        <v>***</v>
      </c>
      <c r="I11" s="9">
        <v>8.9460000000000004E-6</v>
      </c>
      <c r="J11" s="9" t="str">
        <f t="shared" si="0"/>
        <v>***</v>
      </c>
      <c r="K11" s="9">
        <v>8.2169999999999994E-6</v>
      </c>
      <c r="L11" s="9" t="str">
        <f t="shared" si="0"/>
        <v>**</v>
      </c>
      <c r="M11" s="9">
        <v>9.2580000000000001E-6</v>
      </c>
      <c r="N11" s="9" t="str">
        <f t="shared" si="0"/>
        <v>**</v>
      </c>
      <c r="O11" s="9">
        <v>2.4369999999999999E-5</v>
      </c>
      <c r="P11" s="9" t="str">
        <f t="shared" si="1"/>
        <v>***</v>
      </c>
      <c r="Q11" s="9">
        <v>2.5420000000000001E-5</v>
      </c>
      <c r="R11" s="9" t="str">
        <f t="shared" si="1"/>
        <v>***</v>
      </c>
      <c r="S11" s="9"/>
      <c r="T11" s="9" t="str">
        <f t="shared" si="1"/>
        <v>***</v>
      </c>
      <c r="U11" s="9"/>
      <c r="V11" s="9" t="str">
        <f t="shared" si="1"/>
        <v>***</v>
      </c>
      <c r="W11" s="9">
        <v>8.5790000000000004E-6</v>
      </c>
      <c r="X11" s="9" t="str">
        <f t="shared" si="1"/>
        <v>**</v>
      </c>
      <c r="Y11" s="9">
        <v>8.7050000000000005E-6</v>
      </c>
      <c r="Z11" s="9" t="str">
        <f t="shared" si="1"/>
        <v>**</v>
      </c>
      <c r="AA11" s="9"/>
      <c r="AB11" s="9" t="str">
        <f t="shared" si="1"/>
        <v>***</v>
      </c>
      <c r="AC11" s="9"/>
      <c r="AD11" s="9" t="str">
        <f t="shared" si="1"/>
        <v>***</v>
      </c>
    </row>
    <row r="12" spans="1:30" x14ac:dyDescent="0.25">
      <c r="B12" s="9">
        <v>3.4000000000000001E-6</v>
      </c>
      <c r="C12" s="9" t="str">
        <f t="shared" si="0"/>
        <v/>
      </c>
      <c r="D12" s="9" t="str">
        <f>+CONCATENATE("(",ROUND(B12,3),")")</f>
        <v>(0)</v>
      </c>
      <c r="E12" s="9">
        <v>3.5300000000000001E-6</v>
      </c>
      <c r="F12" s="9" t="str">
        <f t="shared" si="0"/>
        <v/>
      </c>
      <c r="G12" s="9">
        <v>3.0900000000000001E-6</v>
      </c>
      <c r="H12" s="9" t="str">
        <f t="shared" si="0"/>
        <v/>
      </c>
      <c r="I12" s="9">
        <v>3.2799999999999999E-6</v>
      </c>
      <c r="J12" s="9" t="str">
        <f t="shared" si="0"/>
        <v/>
      </c>
      <c r="K12" s="9">
        <v>3.6600000000000001E-6</v>
      </c>
      <c r="L12" s="9" t="str">
        <f t="shared" si="0"/>
        <v/>
      </c>
      <c r="M12" s="9">
        <v>3.7299999999999999E-6</v>
      </c>
      <c r="N12" s="9" t="str">
        <f t="shared" si="0"/>
        <v/>
      </c>
      <c r="O12" s="9">
        <v>4.5399999999999997E-6</v>
      </c>
      <c r="P12" s="9" t="str">
        <f t="shared" si="1"/>
        <v/>
      </c>
      <c r="Q12" s="9">
        <v>4.42E-6</v>
      </c>
      <c r="R12" s="9" t="str">
        <f t="shared" si="1"/>
        <v/>
      </c>
      <c r="S12" s="9"/>
      <c r="T12" s="9" t="str">
        <f t="shared" si="1"/>
        <v/>
      </c>
      <c r="U12" s="9"/>
      <c r="V12" s="9" t="str">
        <f t="shared" si="1"/>
        <v/>
      </c>
      <c r="W12" s="9">
        <v>3.72E-6</v>
      </c>
      <c r="X12" s="9" t="str">
        <f t="shared" si="1"/>
        <v/>
      </c>
      <c r="Y12" s="9">
        <v>3.8099999999999999E-6</v>
      </c>
      <c r="Z12" s="9" t="str">
        <f t="shared" si="1"/>
        <v/>
      </c>
      <c r="AA12" s="9"/>
      <c r="AB12" s="9" t="str">
        <f t="shared" si="1"/>
        <v/>
      </c>
      <c r="AC12" s="9"/>
      <c r="AD12" s="9" t="str">
        <f t="shared" si="1"/>
        <v/>
      </c>
    </row>
    <row r="13" spans="1:30" x14ac:dyDescent="0.25">
      <c r="B13" s="9">
        <v>2.4E-2</v>
      </c>
      <c r="C13" s="9" t="str">
        <f t="shared" si="0"/>
        <v/>
      </c>
      <c r="D13" s="9"/>
      <c r="E13" s="9">
        <v>1.9E-2</v>
      </c>
      <c r="F13" s="9" t="str">
        <f t="shared" si="0"/>
        <v/>
      </c>
      <c r="G13" s="9">
        <v>8.9999999999999993E-3</v>
      </c>
      <c r="H13" s="9" t="str">
        <f t="shared" si="0"/>
        <v/>
      </c>
      <c r="I13" s="9">
        <v>7.0000000000000001E-3</v>
      </c>
      <c r="J13" s="9" t="str">
        <f t="shared" si="0"/>
        <v/>
      </c>
      <c r="K13" s="9">
        <v>2.5000000000000001E-2</v>
      </c>
      <c r="L13" s="9" t="str">
        <f t="shared" si="0"/>
        <v/>
      </c>
      <c r="M13" s="9">
        <v>1.4E-2</v>
      </c>
      <c r="N13" s="9" t="str">
        <f t="shared" si="0"/>
        <v/>
      </c>
      <c r="O13" s="9">
        <v>0</v>
      </c>
      <c r="P13" s="9" t="str">
        <f t="shared" si="1"/>
        <v/>
      </c>
      <c r="Q13" s="9">
        <v>0</v>
      </c>
      <c r="R13" s="9" t="str">
        <f t="shared" si="1"/>
        <v/>
      </c>
      <c r="S13" s="9"/>
      <c r="T13" s="9" t="str">
        <f t="shared" si="1"/>
        <v/>
      </c>
      <c r="U13" s="9"/>
      <c r="V13" s="9" t="str">
        <f t="shared" si="1"/>
        <v/>
      </c>
      <c r="W13" s="9">
        <v>2.1999999999999999E-2</v>
      </c>
      <c r="X13" s="9" t="str">
        <f t="shared" si="1"/>
        <v/>
      </c>
      <c r="Y13" s="9">
        <v>2.3E-2</v>
      </c>
      <c r="Z13" s="9" t="str">
        <f t="shared" si="1"/>
        <v/>
      </c>
      <c r="AA13" s="9"/>
      <c r="AB13" s="9" t="str">
        <f t="shared" si="1"/>
        <v/>
      </c>
      <c r="AC13" s="9"/>
      <c r="AD13" s="9" t="str">
        <f t="shared" si="1"/>
        <v/>
      </c>
    </row>
    <row r="14" spans="1:30" x14ac:dyDescent="0.25">
      <c r="A14" t="s">
        <v>33</v>
      </c>
      <c r="B14" s="9">
        <v>-4.0679999999999998E-6</v>
      </c>
      <c r="C14" s="9" t="str">
        <f t="shared" si="0"/>
        <v/>
      </c>
      <c r="D14" s="9" t="str">
        <f>+CONCATENATE(ROUND(B14,3), " ",C14)</f>
        <v xml:space="preserve">0 </v>
      </c>
      <c r="E14" s="9">
        <v>-1.779E-6</v>
      </c>
      <c r="F14" s="9" t="str">
        <f t="shared" si="0"/>
        <v/>
      </c>
      <c r="G14" s="9"/>
      <c r="H14" s="9" t="str">
        <f t="shared" si="0"/>
        <v>***</v>
      </c>
      <c r="I14" s="9"/>
      <c r="J14" s="9" t="str">
        <f t="shared" si="0"/>
        <v>***</v>
      </c>
      <c r="K14" s="9">
        <v>-7.9929999999999995E-6</v>
      </c>
      <c r="L14" s="9" t="str">
        <f t="shared" si="0"/>
        <v/>
      </c>
      <c r="M14" s="9">
        <v>2.073E-5</v>
      </c>
      <c r="N14" s="9" t="str">
        <f t="shared" ref="N14:X58" si="2">+IF($A14&lt;&gt;"",IF(M16&lt;0.01,"***",IF(M16&lt;0.05,"**",IF(M16&lt;0.1,"*",""))),"")</f>
        <v/>
      </c>
      <c r="O14" s="9"/>
      <c r="P14" s="9" t="str">
        <f t="shared" si="2"/>
        <v>***</v>
      </c>
      <c r="Q14" s="9"/>
      <c r="R14" s="9" t="str">
        <f t="shared" si="2"/>
        <v>***</v>
      </c>
      <c r="S14" s="9">
        <v>4.3000000000000002E-5</v>
      </c>
      <c r="T14" s="9" t="str">
        <f t="shared" si="2"/>
        <v/>
      </c>
      <c r="U14" s="9">
        <v>2.0429999999999999E-5</v>
      </c>
      <c r="V14" s="9" t="str">
        <f t="shared" si="2"/>
        <v/>
      </c>
      <c r="W14" s="9"/>
      <c r="X14" s="9" t="str">
        <f t="shared" si="2"/>
        <v>***</v>
      </c>
      <c r="Y14" s="9"/>
      <c r="Z14" s="9" t="str">
        <f t="shared" si="1"/>
        <v>***</v>
      </c>
      <c r="AA14" s="9">
        <v>-2.741E-5</v>
      </c>
      <c r="AB14" s="9" t="str">
        <f t="shared" si="1"/>
        <v/>
      </c>
      <c r="AC14" s="9">
        <v>6.6059999999999999E-6</v>
      </c>
      <c r="AD14" s="9" t="str">
        <f t="shared" si="1"/>
        <v/>
      </c>
    </row>
    <row r="15" spans="1:30" x14ac:dyDescent="0.25">
      <c r="B15" s="9">
        <v>3.18E-5</v>
      </c>
      <c r="C15" s="9" t="str">
        <f t="shared" si="0"/>
        <v/>
      </c>
      <c r="D15" s="9" t="str">
        <f>+CONCATENATE("(",ROUND(B15,3),")")</f>
        <v>(0)</v>
      </c>
      <c r="E15" s="9">
        <v>3.1600000000000002E-5</v>
      </c>
      <c r="F15" s="9" t="str">
        <f t="shared" si="0"/>
        <v/>
      </c>
      <c r="G15" s="9"/>
      <c r="H15" s="9" t="str">
        <f t="shared" si="0"/>
        <v/>
      </c>
      <c r="I15" s="9"/>
      <c r="J15" s="9" t="str">
        <f t="shared" si="0"/>
        <v/>
      </c>
      <c r="K15" s="9">
        <v>3.6199999999999999E-5</v>
      </c>
      <c r="L15" s="9" t="str">
        <f t="shared" si="0"/>
        <v/>
      </c>
      <c r="M15" s="9">
        <v>3.43E-5</v>
      </c>
      <c r="N15" s="9" t="str">
        <f t="shared" si="2"/>
        <v/>
      </c>
      <c r="O15" s="9"/>
      <c r="P15" s="9" t="str">
        <f t="shared" si="2"/>
        <v/>
      </c>
      <c r="Q15" s="9"/>
      <c r="R15" s="9" t="str">
        <f t="shared" si="2"/>
        <v/>
      </c>
      <c r="S15" s="9">
        <v>4.8600000000000002E-5</v>
      </c>
      <c r="T15" s="9" t="str">
        <f t="shared" si="2"/>
        <v/>
      </c>
      <c r="U15" s="9">
        <v>4.5800000000000002E-5</v>
      </c>
      <c r="V15" s="9" t="str">
        <f t="shared" si="2"/>
        <v/>
      </c>
      <c r="W15" s="9"/>
      <c r="X15" s="9" t="str">
        <f t="shared" si="2"/>
        <v/>
      </c>
      <c r="Y15" s="9"/>
      <c r="Z15" s="9" t="str">
        <f t="shared" si="1"/>
        <v/>
      </c>
      <c r="AA15" s="9">
        <v>3.6600000000000002E-5</v>
      </c>
      <c r="AB15" s="9" t="str">
        <f t="shared" si="1"/>
        <v/>
      </c>
      <c r="AC15" s="9">
        <v>3.5200000000000002E-5</v>
      </c>
      <c r="AD15" s="9" t="str">
        <f t="shared" si="1"/>
        <v/>
      </c>
    </row>
    <row r="16" spans="1:30" x14ac:dyDescent="0.25">
      <c r="B16" s="9">
        <v>0.89800000000000002</v>
      </c>
      <c r="C16" s="9" t="str">
        <f t="shared" si="0"/>
        <v/>
      </c>
      <c r="D16" s="9"/>
      <c r="E16" s="9">
        <v>0.95499999999999996</v>
      </c>
      <c r="F16" s="9" t="str">
        <f t="shared" si="0"/>
        <v/>
      </c>
      <c r="G16" s="9"/>
      <c r="H16" s="9" t="str">
        <f t="shared" si="0"/>
        <v/>
      </c>
      <c r="I16" s="9"/>
      <c r="J16" s="9" t="str">
        <f t="shared" si="0"/>
        <v/>
      </c>
      <c r="K16" s="9">
        <v>0.82499999999999996</v>
      </c>
      <c r="L16" s="9" t="str">
        <f t="shared" si="0"/>
        <v/>
      </c>
      <c r="M16" s="9">
        <v>0.54600000000000004</v>
      </c>
      <c r="N16" s="9" t="str">
        <f t="shared" si="2"/>
        <v/>
      </c>
      <c r="O16" s="9"/>
      <c r="P16" s="9" t="str">
        <f t="shared" si="2"/>
        <v/>
      </c>
      <c r="Q16" s="9"/>
      <c r="R16" s="9" t="str">
        <f t="shared" si="2"/>
        <v/>
      </c>
      <c r="S16" s="9">
        <v>0.377</v>
      </c>
      <c r="T16" s="9" t="str">
        <f t="shared" si="2"/>
        <v/>
      </c>
      <c r="U16" s="9">
        <v>0.65600000000000003</v>
      </c>
      <c r="V16" s="9" t="str">
        <f t="shared" si="2"/>
        <v/>
      </c>
      <c r="W16" s="9"/>
      <c r="X16" s="9" t="str">
        <f t="shared" si="2"/>
        <v/>
      </c>
      <c r="Y16" s="9"/>
      <c r="Z16" s="9" t="str">
        <f t="shared" si="1"/>
        <v/>
      </c>
      <c r="AA16" s="9">
        <v>0.45500000000000002</v>
      </c>
      <c r="AB16" s="9" t="str">
        <f t="shared" si="1"/>
        <v/>
      </c>
      <c r="AC16" s="9">
        <v>0.85099999999999998</v>
      </c>
      <c r="AD16" s="9" t="str">
        <f t="shared" si="1"/>
        <v/>
      </c>
    </row>
    <row r="17" spans="1:30" x14ac:dyDescent="0.25">
      <c r="A17" t="s">
        <v>34</v>
      </c>
      <c r="B17" s="9">
        <v>-9.6349999999999997E-5</v>
      </c>
      <c r="C17" s="9" t="str">
        <f t="shared" si="0"/>
        <v/>
      </c>
      <c r="D17" s="9" t="str">
        <f>+CONCATENATE(ROUND(B17,3), " ",C17)</f>
        <v xml:space="preserve">0 </v>
      </c>
      <c r="E17" s="9">
        <v>-1E-4</v>
      </c>
      <c r="F17" s="9" t="str">
        <f t="shared" si="0"/>
        <v>*</v>
      </c>
      <c r="G17" s="9">
        <v>-1E-4</v>
      </c>
      <c r="H17" s="9" t="str">
        <f t="shared" si="0"/>
        <v/>
      </c>
      <c r="I17" s="9">
        <v>-2.0000000000000001E-4</v>
      </c>
      <c r="J17" s="9" t="str">
        <f t="shared" si="0"/>
        <v>***</v>
      </c>
      <c r="K17" s="9"/>
      <c r="L17" s="9" t="str">
        <f t="shared" si="0"/>
        <v>***</v>
      </c>
      <c r="M17" s="9"/>
      <c r="N17" s="9" t="str">
        <f t="shared" si="2"/>
        <v>***</v>
      </c>
      <c r="O17" s="9">
        <v>1.75E-6</v>
      </c>
      <c r="P17" s="9" t="str">
        <f t="shared" si="2"/>
        <v/>
      </c>
      <c r="Q17" s="9">
        <v>-5.2380000000000003E-5</v>
      </c>
      <c r="R17" s="9" t="str">
        <f t="shared" si="2"/>
        <v/>
      </c>
      <c r="S17" s="9">
        <v>2.0000000000000001E-4</v>
      </c>
      <c r="T17" s="9" t="str">
        <f t="shared" si="2"/>
        <v>**</v>
      </c>
      <c r="U17" s="9">
        <v>-4.0240000000000001E-5</v>
      </c>
      <c r="V17" s="9" t="str">
        <f t="shared" si="2"/>
        <v/>
      </c>
      <c r="W17" s="9">
        <v>-5.8130000000000001E-5</v>
      </c>
      <c r="X17" s="9" t="str">
        <f t="shared" si="2"/>
        <v/>
      </c>
      <c r="Y17" s="9">
        <v>-6.6619999999999996E-5</v>
      </c>
      <c r="Z17" s="9" t="str">
        <f t="shared" si="1"/>
        <v/>
      </c>
      <c r="AA17" s="9"/>
      <c r="AB17" s="9" t="str">
        <f t="shared" si="1"/>
        <v>***</v>
      </c>
      <c r="AC17" s="9"/>
      <c r="AD17" s="9" t="str">
        <f t="shared" si="1"/>
        <v>***</v>
      </c>
    </row>
    <row r="18" spans="1:30" x14ac:dyDescent="0.25">
      <c r="B18" s="9">
        <v>7.8800000000000004E-5</v>
      </c>
      <c r="C18" s="9" t="str">
        <f t="shared" si="0"/>
        <v/>
      </c>
      <c r="D18" s="9" t="str">
        <f>+CONCATENATE("(",ROUND(B18,3),")")</f>
        <v>(0)</v>
      </c>
      <c r="E18" s="9">
        <v>8.3399999999999994E-5</v>
      </c>
      <c r="F18" s="9" t="str">
        <f t="shared" si="0"/>
        <v/>
      </c>
      <c r="G18" s="9">
        <v>6.7100000000000005E-5</v>
      </c>
      <c r="H18" s="9" t="str">
        <f t="shared" si="0"/>
        <v/>
      </c>
      <c r="I18" s="9">
        <v>7.2200000000000007E-5</v>
      </c>
      <c r="J18" s="9" t="str">
        <f t="shared" si="0"/>
        <v/>
      </c>
      <c r="K18" s="9"/>
      <c r="L18" s="9" t="str">
        <f t="shared" si="0"/>
        <v/>
      </c>
      <c r="M18" s="9"/>
      <c r="N18" s="9" t="str">
        <f t="shared" si="2"/>
        <v/>
      </c>
      <c r="O18" s="9">
        <v>9.8599999999999998E-5</v>
      </c>
      <c r="P18" s="9" t="str">
        <f t="shared" si="2"/>
        <v/>
      </c>
      <c r="Q18" s="9">
        <v>9.9199999999999999E-5</v>
      </c>
      <c r="R18" s="9" t="str">
        <f t="shared" si="2"/>
        <v/>
      </c>
      <c r="S18" s="9">
        <v>0</v>
      </c>
      <c r="T18" s="9" t="str">
        <f t="shared" si="2"/>
        <v/>
      </c>
      <c r="U18" s="9">
        <v>0</v>
      </c>
      <c r="V18" s="9" t="str">
        <f t="shared" si="2"/>
        <v/>
      </c>
      <c r="W18" s="9">
        <v>7.1500000000000003E-5</v>
      </c>
      <c r="X18" s="9" t="str">
        <f t="shared" si="2"/>
        <v/>
      </c>
      <c r="Y18" s="9">
        <v>7.5500000000000006E-5</v>
      </c>
      <c r="Z18" s="9" t="str">
        <f t="shared" si="1"/>
        <v/>
      </c>
      <c r="AA18" s="9"/>
      <c r="AB18" s="9" t="str">
        <f t="shared" si="1"/>
        <v/>
      </c>
      <c r="AC18" s="9"/>
      <c r="AD18" s="9" t="str">
        <f t="shared" si="1"/>
        <v/>
      </c>
    </row>
    <row r="19" spans="1:30" x14ac:dyDescent="0.25">
      <c r="B19" s="9">
        <v>0.222</v>
      </c>
      <c r="C19" s="9" t="str">
        <f t="shared" si="0"/>
        <v/>
      </c>
      <c r="D19" s="9"/>
      <c r="E19" s="9">
        <v>0.09</v>
      </c>
      <c r="F19" s="9" t="str">
        <f t="shared" si="0"/>
        <v/>
      </c>
      <c r="G19" s="9">
        <v>0.121</v>
      </c>
      <c r="H19" s="9" t="str">
        <f t="shared" si="0"/>
        <v/>
      </c>
      <c r="I19" s="9">
        <v>6.0000000000000001E-3</v>
      </c>
      <c r="J19" s="9" t="str">
        <f t="shared" si="0"/>
        <v/>
      </c>
      <c r="K19" s="9"/>
      <c r="L19" s="9" t="str">
        <f t="shared" si="0"/>
        <v/>
      </c>
      <c r="M19" s="9"/>
      <c r="N19" s="9" t="str">
        <f t="shared" si="2"/>
        <v/>
      </c>
      <c r="O19" s="9">
        <v>0.98599999999999999</v>
      </c>
      <c r="P19" s="9" t="str">
        <f t="shared" si="2"/>
        <v/>
      </c>
      <c r="Q19" s="9">
        <v>0.59799999999999998</v>
      </c>
      <c r="R19" s="9" t="str">
        <f t="shared" si="2"/>
        <v/>
      </c>
      <c r="S19" s="9">
        <v>4.2999999999999997E-2</v>
      </c>
      <c r="T19" s="9" t="str">
        <f t="shared" si="2"/>
        <v/>
      </c>
      <c r="U19" s="9">
        <v>0.72399999999999998</v>
      </c>
      <c r="V19" s="9" t="str">
        <f t="shared" si="2"/>
        <v/>
      </c>
      <c r="W19" s="9">
        <v>0.41699999999999998</v>
      </c>
      <c r="X19" s="9" t="str">
        <f t="shared" si="2"/>
        <v/>
      </c>
      <c r="Y19" s="9">
        <v>0.378</v>
      </c>
      <c r="Z19" s="9" t="str">
        <f t="shared" si="1"/>
        <v/>
      </c>
      <c r="AA19" s="9"/>
      <c r="AB19" s="9" t="str">
        <f t="shared" si="1"/>
        <v/>
      </c>
      <c r="AC19" s="9"/>
      <c r="AD19" s="9" t="str">
        <f t="shared" si="1"/>
        <v/>
      </c>
    </row>
    <row r="20" spans="1:30" x14ac:dyDescent="0.25">
      <c r="A20" t="s">
        <v>35</v>
      </c>
      <c r="B20" s="9">
        <v>5.4999999999999997E-3</v>
      </c>
      <c r="C20" s="9" t="str">
        <f t="shared" si="0"/>
        <v/>
      </c>
      <c r="D20" s="9" t="str">
        <f>+CONCATENATE(ROUND(B20,3), " ",C20)</f>
        <v xml:space="preserve">0,006 </v>
      </c>
      <c r="E20" s="9">
        <v>-8.0000000000000004E-4</v>
      </c>
      <c r="F20" s="9" t="str">
        <f t="shared" si="0"/>
        <v/>
      </c>
      <c r="G20" s="9"/>
      <c r="H20" s="9" t="str">
        <f t="shared" si="0"/>
        <v>***</v>
      </c>
      <c r="I20" s="9"/>
      <c r="J20" s="9" t="str">
        <f t="shared" si="0"/>
        <v>***</v>
      </c>
      <c r="K20" s="9">
        <v>6.3E-3</v>
      </c>
      <c r="L20" s="9" t="str">
        <f t="shared" si="0"/>
        <v/>
      </c>
      <c r="M20" s="9">
        <v>-2.9999999999999997E-4</v>
      </c>
      <c r="N20" s="9" t="str">
        <f t="shared" si="2"/>
        <v/>
      </c>
      <c r="O20" s="9">
        <v>1.1999999999999999E-3</v>
      </c>
      <c r="P20" s="9" t="str">
        <f t="shared" si="2"/>
        <v/>
      </c>
      <c r="Q20" s="9">
        <v>-5.8999999999999999E-3</v>
      </c>
      <c r="R20" s="9" t="str">
        <f t="shared" si="2"/>
        <v/>
      </c>
      <c r="S20" s="9">
        <v>2.0400000000000001E-2</v>
      </c>
      <c r="T20" s="9" t="str">
        <f t="shared" si="2"/>
        <v>*</v>
      </c>
      <c r="U20" s="9">
        <v>7.3000000000000001E-3</v>
      </c>
      <c r="V20" s="9" t="str">
        <f t="shared" si="2"/>
        <v/>
      </c>
      <c r="W20" s="9"/>
      <c r="X20" s="9" t="str">
        <f t="shared" si="2"/>
        <v>***</v>
      </c>
      <c r="Y20" s="9"/>
      <c r="Z20" s="9" t="str">
        <f t="shared" si="1"/>
        <v>***</v>
      </c>
      <c r="AA20" s="9">
        <v>1.2699999999999999E-2</v>
      </c>
      <c r="AB20" s="9" t="str">
        <f t="shared" si="1"/>
        <v/>
      </c>
      <c r="AC20" s="9">
        <v>5.8999999999999999E-3</v>
      </c>
      <c r="AD20" s="9" t="str">
        <f t="shared" si="1"/>
        <v/>
      </c>
    </row>
    <row r="21" spans="1:30" x14ac:dyDescent="0.25">
      <c r="B21" s="9">
        <v>7.0000000000000001E-3</v>
      </c>
      <c r="C21" s="9" t="str">
        <f t="shared" si="0"/>
        <v/>
      </c>
      <c r="D21" s="9" t="str">
        <f>+CONCATENATE("(",ROUND(B21,3),")")</f>
        <v>(0,007)</v>
      </c>
      <c r="E21" s="9">
        <v>7.0000000000000001E-3</v>
      </c>
      <c r="F21" s="9" t="str">
        <f t="shared" si="0"/>
        <v/>
      </c>
      <c r="G21" s="9"/>
      <c r="H21" s="9" t="str">
        <f t="shared" si="0"/>
        <v/>
      </c>
      <c r="I21" s="9"/>
      <c r="J21" s="9" t="str">
        <f t="shared" si="0"/>
        <v/>
      </c>
      <c r="K21" s="9">
        <v>8.0000000000000002E-3</v>
      </c>
      <c r="L21" s="9" t="str">
        <f t="shared" si="0"/>
        <v/>
      </c>
      <c r="M21" s="9">
        <v>8.0000000000000002E-3</v>
      </c>
      <c r="N21" s="9" t="str">
        <f t="shared" si="2"/>
        <v/>
      </c>
      <c r="O21" s="9">
        <v>0.01</v>
      </c>
      <c r="P21" s="9" t="str">
        <f t="shared" si="2"/>
        <v/>
      </c>
      <c r="Q21" s="9">
        <v>8.9999999999999993E-3</v>
      </c>
      <c r="R21" s="9" t="str">
        <f t="shared" si="2"/>
        <v/>
      </c>
      <c r="S21" s="9">
        <v>1.0999999999999999E-2</v>
      </c>
      <c r="T21" s="9" t="str">
        <f t="shared" si="2"/>
        <v/>
      </c>
      <c r="U21" s="9">
        <v>0.01</v>
      </c>
      <c r="V21" s="9" t="str">
        <f t="shared" si="2"/>
        <v/>
      </c>
      <c r="W21" s="9"/>
      <c r="X21" s="9" t="str">
        <f t="shared" si="2"/>
        <v/>
      </c>
      <c r="Y21" s="9"/>
      <c r="Z21" s="9" t="str">
        <f t="shared" si="1"/>
        <v/>
      </c>
      <c r="AA21" s="9">
        <v>8.0000000000000002E-3</v>
      </c>
      <c r="AB21" s="9" t="str">
        <f t="shared" si="1"/>
        <v/>
      </c>
      <c r="AC21" s="9">
        <v>8.0000000000000002E-3</v>
      </c>
      <c r="AD21" s="9" t="str">
        <f t="shared" si="1"/>
        <v/>
      </c>
    </row>
    <row r="22" spans="1:30" x14ac:dyDescent="0.25">
      <c r="B22" s="9">
        <v>0.436</v>
      </c>
      <c r="C22" s="9" t="str">
        <f t="shared" si="0"/>
        <v/>
      </c>
      <c r="D22" s="9"/>
      <c r="E22" s="9">
        <v>0.90900000000000003</v>
      </c>
      <c r="F22" s="9" t="str">
        <f t="shared" si="0"/>
        <v/>
      </c>
      <c r="G22" s="9"/>
      <c r="H22" s="9" t="str">
        <f t="shared" si="0"/>
        <v/>
      </c>
      <c r="I22" s="9"/>
      <c r="J22" s="9" t="str">
        <f t="shared" si="0"/>
        <v/>
      </c>
      <c r="K22" s="9">
        <v>0.44500000000000001</v>
      </c>
      <c r="L22" s="9" t="str">
        <f t="shared" si="0"/>
        <v/>
      </c>
      <c r="M22" s="9">
        <v>0.96499999999999997</v>
      </c>
      <c r="N22" s="9" t="str">
        <f t="shared" si="2"/>
        <v/>
      </c>
      <c r="O22" s="9">
        <v>0.90900000000000003</v>
      </c>
      <c r="P22" s="9" t="str">
        <f t="shared" si="2"/>
        <v/>
      </c>
      <c r="Q22" s="9">
        <v>0.52700000000000002</v>
      </c>
      <c r="R22" s="9" t="str">
        <f t="shared" si="2"/>
        <v/>
      </c>
      <c r="S22" s="9">
        <v>5.8999999999999997E-2</v>
      </c>
      <c r="T22" s="9" t="str">
        <f t="shared" si="2"/>
        <v/>
      </c>
      <c r="U22" s="9">
        <v>0.46800000000000003</v>
      </c>
      <c r="V22" s="9" t="str">
        <f t="shared" si="2"/>
        <v/>
      </c>
      <c r="W22" s="9"/>
      <c r="X22" s="9" t="str">
        <f t="shared" si="2"/>
        <v/>
      </c>
      <c r="Y22" s="9"/>
      <c r="Z22" s="9" t="str">
        <f t="shared" si="1"/>
        <v/>
      </c>
      <c r="AA22" s="9">
        <v>0.124</v>
      </c>
      <c r="AB22" s="9" t="str">
        <f t="shared" si="1"/>
        <v/>
      </c>
      <c r="AC22" s="9">
        <v>0.45400000000000001</v>
      </c>
      <c r="AD22" s="9" t="str">
        <f t="shared" si="1"/>
        <v/>
      </c>
    </row>
    <row r="23" spans="1:30" x14ac:dyDescent="0.25">
      <c r="A23" t="s">
        <v>36</v>
      </c>
      <c r="B23" s="9">
        <v>-2.5959999999999998E-6</v>
      </c>
      <c r="C23" s="9" t="str">
        <f t="shared" si="0"/>
        <v>*</v>
      </c>
      <c r="D23" s="9" t="str">
        <f>+CONCATENATE(ROUND(B23,3), " ",C23)</f>
        <v>0 *</v>
      </c>
      <c r="E23" s="9">
        <v>-9.0790000000000002E-7</v>
      </c>
      <c r="F23" s="9" t="str">
        <f t="shared" si="0"/>
        <v/>
      </c>
      <c r="G23" s="9"/>
      <c r="H23" s="9" t="str">
        <f t="shared" si="0"/>
        <v>***</v>
      </c>
      <c r="I23" s="9"/>
      <c r="J23" s="9" t="str">
        <f t="shared" si="0"/>
        <v>***</v>
      </c>
      <c r="K23" s="9"/>
      <c r="L23" s="9" t="str">
        <f t="shared" si="0"/>
        <v>***</v>
      </c>
      <c r="M23" s="9"/>
      <c r="N23" s="9" t="str">
        <f t="shared" si="2"/>
        <v>***</v>
      </c>
      <c r="O23" s="9"/>
      <c r="P23" s="9" t="str">
        <f t="shared" si="2"/>
        <v>***</v>
      </c>
      <c r="Q23" s="9"/>
      <c r="R23" s="9" t="str">
        <f t="shared" si="2"/>
        <v>***</v>
      </c>
      <c r="S23" s="9"/>
      <c r="T23" s="9" t="str">
        <f t="shared" si="2"/>
        <v>***</v>
      </c>
      <c r="U23" s="9"/>
      <c r="V23" s="9" t="str">
        <f t="shared" si="2"/>
        <v>***</v>
      </c>
      <c r="W23" s="9"/>
      <c r="X23" s="9" t="str">
        <f t="shared" si="2"/>
        <v>***</v>
      </c>
      <c r="Y23" s="9"/>
      <c r="Z23" s="9" t="str">
        <f t="shared" si="1"/>
        <v>***</v>
      </c>
      <c r="AA23" s="9">
        <v>-8.9220000000000001E-7</v>
      </c>
      <c r="AB23" s="9" t="str">
        <f t="shared" si="1"/>
        <v/>
      </c>
      <c r="AC23" s="9">
        <v>2.0970000000000001E-7</v>
      </c>
      <c r="AD23" s="9" t="str">
        <f t="shared" si="1"/>
        <v/>
      </c>
    </row>
    <row r="24" spans="1:30" x14ac:dyDescent="0.25">
      <c r="B24" s="9">
        <v>1.5200000000000001E-6</v>
      </c>
      <c r="C24" s="9" t="str">
        <f t="shared" si="0"/>
        <v/>
      </c>
      <c r="D24" s="9" t="str">
        <f>+CONCATENATE("(",ROUND(B24,3),")")</f>
        <v>(0)</v>
      </c>
      <c r="E24" s="9">
        <v>1.5E-6</v>
      </c>
      <c r="F24" s="9" t="str">
        <f t="shared" si="0"/>
        <v/>
      </c>
      <c r="G24" s="9"/>
      <c r="H24" s="9" t="str">
        <f t="shared" si="0"/>
        <v/>
      </c>
      <c r="I24" s="9"/>
      <c r="J24" s="9" t="str">
        <f t="shared" si="0"/>
        <v/>
      </c>
      <c r="K24" s="9"/>
      <c r="L24" s="9" t="str">
        <f t="shared" si="0"/>
        <v/>
      </c>
      <c r="M24" s="9"/>
      <c r="N24" s="9" t="str">
        <f t="shared" si="2"/>
        <v/>
      </c>
      <c r="O24" s="9"/>
      <c r="P24" s="9" t="str">
        <f t="shared" si="2"/>
        <v/>
      </c>
      <c r="Q24" s="9"/>
      <c r="R24" s="9" t="str">
        <f t="shared" si="2"/>
        <v/>
      </c>
      <c r="S24" s="9"/>
      <c r="T24" s="9" t="str">
        <f t="shared" si="2"/>
        <v/>
      </c>
      <c r="U24" s="9"/>
      <c r="V24" s="9" t="str">
        <f t="shared" si="2"/>
        <v/>
      </c>
      <c r="W24" s="9"/>
      <c r="X24" s="9" t="str">
        <f t="shared" si="2"/>
        <v/>
      </c>
      <c r="Y24" s="9"/>
      <c r="Z24" s="9" t="str">
        <f t="shared" si="1"/>
        <v/>
      </c>
      <c r="AA24" s="9">
        <v>1.75E-6</v>
      </c>
      <c r="AB24" s="9" t="str">
        <f t="shared" si="1"/>
        <v/>
      </c>
      <c r="AC24" s="9">
        <v>1.6700000000000001E-6</v>
      </c>
      <c r="AD24" s="9" t="str">
        <f t="shared" si="1"/>
        <v/>
      </c>
    </row>
    <row r="25" spans="1:30" x14ac:dyDescent="0.25">
      <c r="B25" s="9">
        <v>8.8999999999999996E-2</v>
      </c>
      <c r="C25" s="9" t="str">
        <f t="shared" si="0"/>
        <v/>
      </c>
      <c r="D25" s="9"/>
      <c r="E25" s="9">
        <v>0.54600000000000004</v>
      </c>
      <c r="F25" s="9" t="str">
        <f t="shared" si="0"/>
        <v/>
      </c>
      <c r="G25" s="9"/>
      <c r="H25" s="9" t="str">
        <f t="shared" si="0"/>
        <v/>
      </c>
      <c r="I25" s="9"/>
      <c r="J25" s="9" t="str">
        <f t="shared" si="0"/>
        <v/>
      </c>
      <c r="K25" s="9"/>
      <c r="L25" s="9" t="str">
        <f t="shared" si="0"/>
        <v/>
      </c>
      <c r="M25" s="9"/>
      <c r="N25" s="9" t="str">
        <f t="shared" si="2"/>
        <v/>
      </c>
      <c r="O25" s="9"/>
      <c r="P25" s="9" t="str">
        <f t="shared" si="2"/>
        <v/>
      </c>
      <c r="Q25" s="9"/>
      <c r="R25" s="9" t="str">
        <f t="shared" si="2"/>
        <v/>
      </c>
      <c r="S25" s="9"/>
      <c r="T25" s="9" t="str">
        <f t="shared" si="2"/>
        <v/>
      </c>
      <c r="U25" s="9"/>
      <c r="V25" s="9" t="str">
        <f t="shared" si="2"/>
        <v/>
      </c>
      <c r="W25" s="9"/>
      <c r="X25" s="9" t="str">
        <f t="shared" si="2"/>
        <v/>
      </c>
      <c r="Y25" s="9"/>
      <c r="Z25" s="9" t="str">
        <f t="shared" si="1"/>
        <v/>
      </c>
      <c r="AA25" s="9">
        <v>0.61</v>
      </c>
      <c r="AB25" s="9" t="str">
        <f t="shared" si="1"/>
        <v/>
      </c>
      <c r="AC25" s="9">
        <v>0.9</v>
      </c>
      <c r="AD25" s="9" t="str">
        <f t="shared" si="1"/>
        <v/>
      </c>
    </row>
    <row r="26" spans="1:30" x14ac:dyDescent="0.25">
      <c r="A26" t="s">
        <v>37</v>
      </c>
      <c r="B26" s="9">
        <v>6.917E-9</v>
      </c>
      <c r="C26" s="9" t="str">
        <f t="shared" si="0"/>
        <v/>
      </c>
      <c r="D26" s="9" t="str">
        <f>+CONCATENATE(ROUND(B26,3), " ",C26)</f>
        <v xml:space="preserve">0 </v>
      </c>
      <c r="E26" s="9">
        <v>9.7919999999999993E-9</v>
      </c>
      <c r="F26" s="9" t="str">
        <f t="shared" si="0"/>
        <v>*</v>
      </c>
      <c r="G26" s="9">
        <v>7.2049999999999998E-9</v>
      </c>
      <c r="H26" s="9" t="str">
        <f t="shared" si="0"/>
        <v/>
      </c>
      <c r="I26" s="9">
        <v>9.1980000000000007E-9</v>
      </c>
      <c r="J26" s="9" t="str">
        <f t="shared" si="0"/>
        <v>*</v>
      </c>
      <c r="K26" s="9"/>
      <c r="L26" s="9" t="str">
        <f t="shared" si="0"/>
        <v>***</v>
      </c>
      <c r="M26" s="9"/>
      <c r="N26" s="9" t="str">
        <f t="shared" si="2"/>
        <v>***</v>
      </c>
      <c r="O26" s="9"/>
      <c r="P26" s="9" t="str">
        <f t="shared" si="2"/>
        <v>***</v>
      </c>
      <c r="Q26" s="9"/>
      <c r="R26" s="9" t="str">
        <f t="shared" si="2"/>
        <v>***</v>
      </c>
      <c r="S26" s="9">
        <v>-2.5300000000000002E-8</v>
      </c>
      <c r="T26" s="9" t="str">
        <f t="shared" si="2"/>
        <v>***</v>
      </c>
      <c r="U26" s="9">
        <v>-2.0999999999999999E-8</v>
      </c>
      <c r="V26" s="9" t="str">
        <f t="shared" si="2"/>
        <v>***</v>
      </c>
      <c r="W26" s="9"/>
      <c r="X26" s="9" t="str">
        <f t="shared" si="2"/>
        <v>***</v>
      </c>
      <c r="Y26" s="9"/>
      <c r="Z26" s="9" t="str">
        <f t="shared" si="1"/>
        <v>***</v>
      </c>
      <c r="AA26" s="9"/>
      <c r="AB26" s="9" t="str">
        <f t="shared" si="1"/>
        <v>***</v>
      </c>
      <c r="AC26" s="9"/>
      <c r="AD26" s="9" t="str">
        <f t="shared" si="1"/>
        <v>***</v>
      </c>
    </row>
    <row r="27" spans="1:30" x14ac:dyDescent="0.25">
      <c r="B27" s="9">
        <v>5.8500000000000003E-9</v>
      </c>
      <c r="C27" s="9" t="str">
        <f t="shared" si="0"/>
        <v/>
      </c>
      <c r="D27" s="9" t="str">
        <f>+CONCATENATE("(",ROUND(B27,3),")")</f>
        <v>(0)</v>
      </c>
      <c r="E27" s="9">
        <v>5.6800000000000002E-9</v>
      </c>
      <c r="F27" s="9" t="str">
        <f t="shared" si="0"/>
        <v/>
      </c>
      <c r="G27" s="9">
        <v>5.7800000000000003E-9</v>
      </c>
      <c r="H27" s="9" t="str">
        <f t="shared" si="0"/>
        <v/>
      </c>
      <c r="I27" s="9">
        <v>5.5400000000000003E-9</v>
      </c>
      <c r="J27" s="9" t="str">
        <f t="shared" si="0"/>
        <v/>
      </c>
      <c r="K27" s="9"/>
      <c r="L27" s="9" t="str">
        <f t="shared" si="0"/>
        <v/>
      </c>
      <c r="M27" s="9"/>
      <c r="N27" s="9" t="str">
        <f t="shared" si="2"/>
        <v/>
      </c>
      <c r="O27" s="9"/>
      <c r="P27" s="9" t="str">
        <f t="shared" si="2"/>
        <v/>
      </c>
      <c r="Q27" s="9"/>
      <c r="R27" s="9" t="str">
        <f t="shared" si="2"/>
        <v/>
      </c>
      <c r="S27" s="9">
        <v>8.6300000000000002E-9</v>
      </c>
      <c r="T27" s="9" t="str">
        <f t="shared" si="2"/>
        <v/>
      </c>
      <c r="U27" s="9">
        <v>7.9099999999999994E-9</v>
      </c>
      <c r="V27" s="9" t="str">
        <f t="shared" si="2"/>
        <v/>
      </c>
      <c r="W27" s="9"/>
      <c r="X27" s="9" t="str">
        <f t="shared" si="2"/>
        <v/>
      </c>
      <c r="Y27" s="9"/>
      <c r="Z27" s="9" t="str">
        <f t="shared" si="1"/>
        <v/>
      </c>
      <c r="AA27" s="9"/>
      <c r="AB27" s="9" t="str">
        <f t="shared" si="1"/>
        <v/>
      </c>
      <c r="AC27" s="9"/>
      <c r="AD27" s="9" t="str">
        <f t="shared" si="1"/>
        <v/>
      </c>
    </row>
    <row r="28" spans="1:30" x14ac:dyDescent="0.25">
      <c r="B28" s="9">
        <v>0.23699999999999999</v>
      </c>
      <c r="C28" s="9" t="str">
        <f t="shared" si="0"/>
        <v/>
      </c>
      <c r="D28" s="9"/>
      <c r="E28" s="9">
        <v>8.5999999999999993E-2</v>
      </c>
      <c r="F28" s="9" t="str">
        <f t="shared" si="0"/>
        <v/>
      </c>
      <c r="G28" s="9">
        <v>0.21299999999999999</v>
      </c>
      <c r="H28" s="9" t="str">
        <f t="shared" si="0"/>
        <v/>
      </c>
      <c r="I28" s="9">
        <v>9.8000000000000004E-2</v>
      </c>
      <c r="J28" s="9" t="str">
        <f t="shared" si="0"/>
        <v/>
      </c>
      <c r="K28" s="9"/>
      <c r="L28" s="9" t="str">
        <f t="shared" si="0"/>
        <v/>
      </c>
      <c r="M28" s="9"/>
      <c r="N28" s="9" t="str">
        <f t="shared" si="2"/>
        <v/>
      </c>
      <c r="O28" s="9"/>
      <c r="P28" s="9" t="str">
        <f t="shared" si="2"/>
        <v/>
      </c>
      <c r="Q28" s="9"/>
      <c r="R28" s="9" t="str">
        <f t="shared" si="2"/>
        <v/>
      </c>
      <c r="S28" s="9">
        <v>4.0000000000000001E-3</v>
      </c>
      <c r="T28" s="9" t="str">
        <f t="shared" si="2"/>
        <v/>
      </c>
      <c r="U28" s="9">
        <v>8.0000000000000002E-3</v>
      </c>
      <c r="V28" s="9" t="str">
        <f t="shared" si="2"/>
        <v/>
      </c>
      <c r="W28" s="9"/>
      <c r="X28" s="9" t="str">
        <f t="shared" si="2"/>
        <v/>
      </c>
      <c r="Y28" s="9"/>
      <c r="Z28" s="9" t="str">
        <f t="shared" si="1"/>
        <v/>
      </c>
      <c r="AA28" s="9"/>
      <c r="AB28" s="9" t="str">
        <f t="shared" si="1"/>
        <v/>
      </c>
      <c r="AC28" s="9"/>
      <c r="AD28" s="9" t="str">
        <f t="shared" si="1"/>
        <v/>
      </c>
    </row>
    <row r="29" spans="1:30" x14ac:dyDescent="0.25">
      <c r="A29" t="s">
        <v>38</v>
      </c>
      <c r="B29" s="9">
        <v>-2.7000000000000001E-3</v>
      </c>
      <c r="C29" s="9" t="str">
        <f t="shared" si="0"/>
        <v/>
      </c>
      <c r="D29" s="9" t="str">
        <f>+CONCATENATE(ROUND(B29,3), " ",C29)</f>
        <v xml:space="preserve">-0,003 </v>
      </c>
      <c r="E29" s="9">
        <v>7.1000000000000004E-3</v>
      </c>
      <c r="F29" s="9" t="str">
        <f t="shared" si="0"/>
        <v/>
      </c>
      <c r="G29" s="9"/>
      <c r="H29" s="9" t="str">
        <f t="shared" si="0"/>
        <v>***</v>
      </c>
      <c r="I29" s="9"/>
      <c r="J29" s="9" t="str">
        <f t="shared" si="0"/>
        <v>***</v>
      </c>
      <c r="K29" s="9"/>
      <c r="L29" s="9" t="str">
        <f t="shared" si="0"/>
        <v>***</v>
      </c>
      <c r="M29" s="9"/>
      <c r="N29" s="9" t="str">
        <f t="shared" si="2"/>
        <v>***</v>
      </c>
      <c r="O29" s="9">
        <v>-2.0299999999999999E-2</v>
      </c>
      <c r="P29" s="9" t="str">
        <f t="shared" si="2"/>
        <v/>
      </c>
      <c r="Q29" s="9">
        <v>-1.5699999999999999E-2</v>
      </c>
      <c r="R29" s="9" t="str">
        <f t="shared" si="2"/>
        <v/>
      </c>
      <c r="S29" s="9">
        <v>4.0500000000000001E-2</v>
      </c>
      <c r="T29" s="9" t="str">
        <f t="shared" si="2"/>
        <v>***</v>
      </c>
      <c r="U29" s="9">
        <v>4.0500000000000001E-2</v>
      </c>
      <c r="V29" s="9" t="str">
        <f t="shared" si="2"/>
        <v>***</v>
      </c>
      <c r="W29" s="9">
        <v>-1.24E-2</v>
      </c>
      <c r="X29" s="9" t="str">
        <f t="shared" si="2"/>
        <v/>
      </c>
      <c r="Y29" s="9">
        <v>-6.3E-3</v>
      </c>
      <c r="Z29" s="9" t="str">
        <f t="shared" si="1"/>
        <v/>
      </c>
      <c r="AA29" s="9"/>
      <c r="AB29" s="9" t="str">
        <f t="shared" si="1"/>
        <v>***</v>
      </c>
      <c r="AC29" s="9"/>
      <c r="AD29" s="9" t="str">
        <f t="shared" si="1"/>
        <v>***</v>
      </c>
    </row>
    <row r="30" spans="1:30" x14ac:dyDescent="0.25">
      <c r="B30" s="9">
        <v>8.9999999999999993E-3</v>
      </c>
      <c r="C30" s="9" t="str">
        <f t="shared" si="0"/>
        <v/>
      </c>
      <c r="D30" s="9" t="str">
        <f>+CONCATENATE("(",ROUND(B30,3),")")</f>
        <v>(0,009)</v>
      </c>
      <c r="E30" s="9">
        <v>1.0999999999999999E-2</v>
      </c>
      <c r="F30" s="9" t="str">
        <f t="shared" si="0"/>
        <v/>
      </c>
      <c r="G30" s="9"/>
      <c r="H30" s="9" t="str">
        <f t="shared" si="0"/>
        <v/>
      </c>
      <c r="I30" s="9"/>
      <c r="J30" s="9" t="str">
        <f t="shared" si="0"/>
        <v/>
      </c>
      <c r="K30" s="9"/>
      <c r="L30" s="9" t="str">
        <f t="shared" si="0"/>
        <v/>
      </c>
      <c r="M30" s="9"/>
      <c r="N30" s="9" t="str">
        <f t="shared" si="2"/>
        <v/>
      </c>
      <c r="O30" s="9">
        <v>1.2999999999999999E-2</v>
      </c>
      <c r="P30" s="9" t="str">
        <f t="shared" si="2"/>
        <v/>
      </c>
      <c r="Q30" s="9">
        <v>1.4E-2</v>
      </c>
      <c r="R30" s="9" t="str">
        <f t="shared" si="2"/>
        <v/>
      </c>
      <c r="S30" s="9">
        <v>2E-3</v>
      </c>
      <c r="T30" s="9" t="str">
        <f t="shared" si="2"/>
        <v/>
      </c>
      <c r="U30" s="9">
        <v>3.0000000000000001E-3</v>
      </c>
      <c r="V30" s="9" t="str">
        <f t="shared" si="2"/>
        <v/>
      </c>
      <c r="W30" s="9">
        <v>1.0999999999999999E-2</v>
      </c>
      <c r="X30" s="9" t="str">
        <f t="shared" si="2"/>
        <v/>
      </c>
      <c r="Y30" s="9">
        <v>1.2E-2</v>
      </c>
      <c r="Z30" s="9" t="str">
        <f t="shared" si="1"/>
        <v/>
      </c>
      <c r="AA30" s="9"/>
      <c r="AB30" s="9" t="str">
        <f t="shared" si="1"/>
        <v/>
      </c>
      <c r="AC30" s="9"/>
      <c r="AD30" s="9" t="str">
        <f t="shared" si="1"/>
        <v/>
      </c>
    </row>
    <row r="31" spans="1:30" x14ac:dyDescent="0.25">
      <c r="B31" s="9">
        <v>0.77600000000000002</v>
      </c>
      <c r="C31" s="9" t="str">
        <f t="shared" si="0"/>
        <v/>
      </c>
      <c r="D31" s="9"/>
      <c r="E31" s="9">
        <v>0.51800000000000002</v>
      </c>
      <c r="F31" s="9" t="str">
        <f t="shared" si="0"/>
        <v/>
      </c>
      <c r="G31" s="9"/>
      <c r="H31" s="9" t="str">
        <f t="shared" si="0"/>
        <v/>
      </c>
      <c r="I31" s="9"/>
      <c r="J31" s="9" t="str">
        <f t="shared" si="0"/>
        <v/>
      </c>
      <c r="K31" s="9"/>
      <c r="L31" s="9" t="str">
        <f t="shared" si="0"/>
        <v/>
      </c>
      <c r="M31" s="9"/>
      <c r="N31" s="9" t="str">
        <f t="shared" si="2"/>
        <v/>
      </c>
      <c r="O31" s="9">
        <v>0.105</v>
      </c>
      <c r="P31" s="9" t="str">
        <f t="shared" si="2"/>
        <v/>
      </c>
      <c r="Q31" s="9">
        <v>0.25700000000000001</v>
      </c>
      <c r="R31" s="9" t="str">
        <f t="shared" si="2"/>
        <v/>
      </c>
      <c r="S31" s="9">
        <v>0</v>
      </c>
      <c r="T31" s="9" t="str">
        <f t="shared" si="2"/>
        <v/>
      </c>
      <c r="U31" s="9">
        <v>0</v>
      </c>
      <c r="V31" s="9" t="str">
        <f t="shared" si="2"/>
        <v/>
      </c>
      <c r="W31" s="9">
        <v>0.249</v>
      </c>
      <c r="X31" s="9" t="str">
        <f t="shared" si="2"/>
        <v/>
      </c>
      <c r="Y31" s="9">
        <v>0.60099999999999998</v>
      </c>
      <c r="Z31" s="9" t="str">
        <f t="shared" si="1"/>
        <v/>
      </c>
      <c r="AA31" s="9"/>
      <c r="AB31" s="9" t="str">
        <f t="shared" si="1"/>
        <v/>
      </c>
      <c r="AC31" s="9"/>
      <c r="AD31" s="9" t="str">
        <f t="shared" si="1"/>
        <v/>
      </c>
    </row>
    <row r="32" spans="1:30" x14ac:dyDescent="0.25">
      <c r="A32" t="s">
        <v>39</v>
      </c>
      <c r="B32" s="9">
        <v>1.394E-5</v>
      </c>
      <c r="C32" s="9" t="str">
        <f t="shared" si="0"/>
        <v/>
      </c>
      <c r="D32" s="9" t="str">
        <f>+CONCATENATE(ROUND(B32,3), " ",C32)</f>
        <v xml:space="preserve">0 </v>
      </c>
      <c r="E32" s="9">
        <v>7.9100000000000005E-6</v>
      </c>
      <c r="F32" s="9" t="str">
        <f t="shared" si="0"/>
        <v/>
      </c>
      <c r="G32" s="9"/>
      <c r="H32" s="9" t="str">
        <f t="shared" si="0"/>
        <v>***</v>
      </c>
      <c r="I32" s="9"/>
      <c r="J32" s="9" t="str">
        <f t="shared" si="0"/>
        <v>***</v>
      </c>
      <c r="K32" s="9">
        <v>6.1240000000000002E-6</v>
      </c>
      <c r="L32" s="9" t="str">
        <f t="shared" si="0"/>
        <v/>
      </c>
      <c r="M32" s="9">
        <v>1.6959999999999999E-6</v>
      </c>
      <c r="N32" s="9" t="str">
        <f t="shared" si="2"/>
        <v/>
      </c>
      <c r="O32" s="9">
        <v>2.438E-5</v>
      </c>
      <c r="P32" s="9" t="str">
        <f t="shared" si="2"/>
        <v/>
      </c>
      <c r="Q32" s="9">
        <v>2.0699999999999998E-5</v>
      </c>
      <c r="R32" s="9" t="str">
        <f t="shared" si="2"/>
        <v/>
      </c>
      <c r="S32" s="9">
        <v>2.546E-5</v>
      </c>
      <c r="T32" s="9" t="str">
        <f t="shared" si="2"/>
        <v/>
      </c>
      <c r="U32" s="9">
        <v>2.4450000000000001E-5</v>
      </c>
      <c r="V32" s="9" t="str">
        <f t="shared" si="2"/>
        <v/>
      </c>
      <c r="W32" s="9"/>
      <c r="X32" s="9" t="str">
        <f t="shared" si="2"/>
        <v>***</v>
      </c>
      <c r="Y32" s="9"/>
      <c r="Z32" s="9" t="str">
        <f t="shared" si="1"/>
        <v>***</v>
      </c>
      <c r="AA32" s="9">
        <v>3.4979999999999998E-6</v>
      </c>
      <c r="AB32" s="9" t="str">
        <f t="shared" si="1"/>
        <v/>
      </c>
      <c r="AC32" s="9">
        <v>-6.7879999999999996E-7</v>
      </c>
      <c r="AD32" s="9" t="str">
        <f t="shared" si="1"/>
        <v/>
      </c>
    </row>
    <row r="33" spans="1:30" x14ac:dyDescent="0.25">
      <c r="B33" s="9">
        <v>1.52E-5</v>
      </c>
      <c r="C33" s="9" t="str">
        <f t="shared" si="0"/>
        <v/>
      </c>
      <c r="D33" s="9" t="str">
        <f>+CONCATENATE("(",ROUND(B33,3),")")</f>
        <v>(0)</v>
      </c>
      <c r="E33" s="9">
        <v>1.45E-5</v>
      </c>
      <c r="F33" s="9" t="str">
        <f t="shared" si="0"/>
        <v/>
      </c>
      <c r="G33" s="9"/>
      <c r="H33" s="9" t="str">
        <f t="shared" si="0"/>
        <v/>
      </c>
      <c r="I33" s="9"/>
      <c r="J33" s="9" t="str">
        <f t="shared" si="0"/>
        <v/>
      </c>
      <c r="K33" s="9">
        <v>1.7600000000000001E-5</v>
      </c>
      <c r="L33" s="9" t="str">
        <f t="shared" si="0"/>
        <v/>
      </c>
      <c r="M33" s="9">
        <v>1.6099999999999998E-5</v>
      </c>
      <c r="N33" s="9" t="str">
        <f t="shared" si="2"/>
        <v/>
      </c>
      <c r="O33" s="9">
        <v>2.1699999999999999E-5</v>
      </c>
      <c r="P33" s="9" t="str">
        <f t="shared" si="2"/>
        <v/>
      </c>
      <c r="Q33" s="9">
        <v>1.9300000000000002E-5</v>
      </c>
      <c r="R33" s="9" t="str">
        <f t="shared" si="2"/>
        <v/>
      </c>
      <c r="S33" s="9">
        <v>2.34E-5</v>
      </c>
      <c r="T33" s="9" t="str">
        <f t="shared" si="2"/>
        <v/>
      </c>
      <c r="U33" s="9">
        <v>2.12E-5</v>
      </c>
      <c r="V33" s="9" t="str">
        <f t="shared" si="2"/>
        <v/>
      </c>
      <c r="W33" s="9"/>
      <c r="X33" s="9" t="str">
        <f t="shared" si="2"/>
        <v/>
      </c>
      <c r="Y33" s="9"/>
      <c r="Z33" s="9" t="str">
        <f t="shared" si="1"/>
        <v/>
      </c>
      <c r="AA33" s="9">
        <v>1.7900000000000001E-5</v>
      </c>
      <c r="AB33" s="9" t="str">
        <f t="shared" si="1"/>
        <v/>
      </c>
      <c r="AC33" s="9">
        <v>1.6500000000000001E-5</v>
      </c>
      <c r="AD33" s="9" t="str">
        <f t="shared" si="1"/>
        <v/>
      </c>
    </row>
    <row r="34" spans="1:30" x14ac:dyDescent="0.25">
      <c r="B34" s="9">
        <v>0.35799999999999998</v>
      </c>
      <c r="C34" s="9" t="str">
        <f t="shared" si="0"/>
        <v/>
      </c>
      <c r="D34" s="9"/>
      <c r="E34" s="9">
        <v>0.58499999999999996</v>
      </c>
      <c r="F34" s="9" t="str">
        <f t="shared" si="0"/>
        <v/>
      </c>
      <c r="G34" s="9"/>
      <c r="H34" s="9" t="str">
        <f t="shared" si="0"/>
        <v/>
      </c>
      <c r="I34" s="9"/>
      <c r="J34" s="9" t="str">
        <f t="shared" si="0"/>
        <v/>
      </c>
      <c r="K34" s="9">
        <v>0.72699999999999998</v>
      </c>
      <c r="L34" s="9" t="str">
        <f t="shared" si="0"/>
        <v/>
      </c>
      <c r="M34" s="9">
        <v>0.91600000000000004</v>
      </c>
      <c r="N34" s="9" t="str">
        <f t="shared" si="2"/>
        <v/>
      </c>
      <c r="O34" s="9">
        <v>0.26100000000000001</v>
      </c>
      <c r="P34" s="9" t="str">
        <f t="shared" si="2"/>
        <v/>
      </c>
      <c r="Q34" s="9">
        <v>0.28499999999999998</v>
      </c>
      <c r="R34" s="9" t="str">
        <f t="shared" si="2"/>
        <v/>
      </c>
      <c r="S34" s="9">
        <v>0.27800000000000002</v>
      </c>
      <c r="T34" s="9" t="str">
        <f t="shared" si="2"/>
        <v/>
      </c>
      <c r="U34" s="9">
        <v>0.249</v>
      </c>
      <c r="V34" s="9" t="str">
        <f t="shared" si="2"/>
        <v/>
      </c>
      <c r="W34" s="9"/>
      <c r="X34" s="9" t="str">
        <f t="shared" si="2"/>
        <v/>
      </c>
      <c r="Y34" s="9"/>
      <c r="Z34" s="9" t="str">
        <f t="shared" si="1"/>
        <v/>
      </c>
      <c r="AA34" s="9">
        <v>0.84499999999999997</v>
      </c>
      <c r="AB34" s="9" t="str">
        <f t="shared" si="1"/>
        <v/>
      </c>
      <c r="AC34" s="9">
        <v>0.96699999999999997</v>
      </c>
      <c r="AD34" s="9" t="str">
        <f t="shared" si="1"/>
        <v/>
      </c>
    </row>
    <row r="35" spans="1:30" x14ac:dyDescent="0.25">
      <c r="A35" t="s">
        <v>40</v>
      </c>
      <c r="B35" s="9">
        <v>-1E-4</v>
      </c>
      <c r="C35" s="9" t="str">
        <f t="shared" si="0"/>
        <v/>
      </c>
      <c r="D35" s="9" t="str">
        <f>+CONCATENATE(ROUND(B35,3), " ",C35)</f>
        <v xml:space="preserve">0 </v>
      </c>
      <c r="E35" s="9">
        <v>-1E-4</v>
      </c>
      <c r="F35" s="9" t="str">
        <f t="shared" si="0"/>
        <v/>
      </c>
      <c r="G35" s="9">
        <v>-1E-4</v>
      </c>
      <c r="H35" s="9" t="str">
        <f t="shared" si="0"/>
        <v/>
      </c>
      <c r="I35" s="9">
        <v>-2.0000000000000001E-4</v>
      </c>
      <c r="J35" s="9" t="str">
        <f t="shared" si="0"/>
        <v/>
      </c>
      <c r="K35" s="9">
        <v>4.9310000000000001E-5</v>
      </c>
      <c r="L35" s="9" t="str">
        <f t="shared" si="0"/>
        <v/>
      </c>
      <c r="M35" s="9">
        <v>2.5190000000000001E-5</v>
      </c>
      <c r="N35" s="9" t="str">
        <f t="shared" si="2"/>
        <v/>
      </c>
      <c r="O35" s="9">
        <v>-4.0000000000000002E-4</v>
      </c>
      <c r="P35" s="9" t="str">
        <f t="shared" si="2"/>
        <v>**</v>
      </c>
      <c r="Q35" s="9">
        <v>-2.0000000000000001E-4</v>
      </c>
      <c r="R35" s="9" t="str">
        <f t="shared" si="2"/>
        <v/>
      </c>
      <c r="S35" s="9">
        <v>2.0000000000000001E-4</v>
      </c>
      <c r="T35" s="9" t="str">
        <f t="shared" si="2"/>
        <v/>
      </c>
      <c r="U35" s="9">
        <v>6.2420000000000002E-5</v>
      </c>
      <c r="V35" s="9" t="str">
        <f t="shared" si="2"/>
        <v/>
      </c>
      <c r="W35" s="9"/>
      <c r="X35" s="9" t="str">
        <f t="shared" si="2"/>
        <v>***</v>
      </c>
      <c r="Y35" s="9"/>
      <c r="Z35" s="9" t="str">
        <f t="shared" si="1"/>
        <v>***</v>
      </c>
      <c r="AA35" s="9"/>
      <c r="AB35" s="9" t="str">
        <f t="shared" si="1"/>
        <v>***</v>
      </c>
      <c r="AC35" s="9"/>
      <c r="AD35" s="9" t="str">
        <f t="shared" si="1"/>
        <v>***</v>
      </c>
    </row>
    <row r="36" spans="1:30" x14ac:dyDescent="0.25">
      <c r="B36" s="9">
        <v>0</v>
      </c>
      <c r="C36" s="9" t="str">
        <f t="shared" si="0"/>
        <v/>
      </c>
      <c r="D36" s="9" t="str">
        <f>+CONCATENATE("(",ROUND(B36,3),")")</f>
        <v>(0)</v>
      </c>
      <c r="E36" s="9">
        <v>0</v>
      </c>
      <c r="F36" s="9" t="str">
        <f t="shared" si="0"/>
        <v/>
      </c>
      <c r="G36" s="9">
        <v>0</v>
      </c>
      <c r="H36" s="9" t="str">
        <f t="shared" si="0"/>
        <v/>
      </c>
      <c r="I36" s="9">
        <v>0</v>
      </c>
      <c r="J36" s="9" t="str">
        <f t="shared" si="0"/>
        <v/>
      </c>
      <c r="K36" s="9">
        <v>0</v>
      </c>
      <c r="L36" s="9" t="str">
        <f t="shared" si="0"/>
        <v/>
      </c>
      <c r="M36" s="9">
        <v>0</v>
      </c>
      <c r="N36" s="9" t="str">
        <f t="shared" si="2"/>
        <v/>
      </c>
      <c r="O36" s="9">
        <v>0</v>
      </c>
      <c r="P36" s="9" t="str">
        <f t="shared" si="2"/>
        <v/>
      </c>
      <c r="Q36" s="9">
        <v>0</v>
      </c>
      <c r="R36" s="9" t="str">
        <f t="shared" si="2"/>
        <v/>
      </c>
      <c r="S36" s="9">
        <v>0</v>
      </c>
      <c r="T36" s="9" t="str">
        <f t="shared" si="2"/>
        <v/>
      </c>
      <c r="U36" s="9">
        <v>0</v>
      </c>
      <c r="V36" s="9" t="str">
        <f t="shared" si="2"/>
        <v/>
      </c>
      <c r="W36" s="9"/>
      <c r="X36" s="9" t="str">
        <f t="shared" si="2"/>
        <v/>
      </c>
      <c r="Y36" s="9"/>
      <c r="Z36" s="9" t="str">
        <f t="shared" si="1"/>
        <v/>
      </c>
      <c r="AA36" s="9"/>
      <c r="AB36" s="9" t="str">
        <f t="shared" si="1"/>
        <v/>
      </c>
      <c r="AC36" s="9"/>
      <c r="AD36" s="9" t="str">
        <f t="shared" si="1"/>
        <v/>
      </c>
    </row>
    <row r="37" spans="1:30" x14ac:dyDescent="0.25">
      <c r="B37" s="9">
        <v>0.379</v>
      </c>
      <c r="C37" s="9" t="str">
        <f t="shared" si="0"/>
        <v/>
      </c>
      <c r="D37" s="9"/>
      <c r="E37" s="9">
        <v>0.33</v>
      </c>
      <c r="F37" s="9" t="str">
        <f t="shared" si="0"/>
        <v/>
      </c>
      <c r="G37" s="9">
        <v>0.29399999999999998</v>
      </c>
      <c r="H37" s="9" t="str">
        <f t="shared" si="0"/>
        <v/>
      </c>
      <c r="I37" s="9">
        <v>0.25</v>
      </c>
      <c r="J37" s="9" t="str">
        <f t="shared" si="0"/>
        <v/>
      </c>
      <c r="K37" s="9">
        <v>0.755</v>
      </c>
      <c r="L37" s="9" t="str">
        <f t="shared" si="0"/>
        <v/>
      </c>
      <c r="M37" s="9">
        <v>0.86499999999999999</v>
      </c>
      <c r="N37" s="9" t="str">
        <f t="shared" si="2"/>
        <v/>
      </c>
      <c r="O37" s="9">
        <v>4.7E-2</v>
      </c>
      <c r="P37" s="9" t="str">
        <f t="shared" si="2"/>
        <v/>
      </c>
      <c r="Q37" s="9">
        <v>0.193</v>
      </c>
      <c r="R37" s="9" t="str">
        <f t="shared" si="2"/>
        <v/>
      </c>
      <c r="S37" s="9">
        <v>0.307</v>
      </c>
      <c r="T37" s="9" t="str">
        <f t="shared" si="2"/>
        <v/>
      </c>
      <c r="U37" s="9">
        <v>0.748</v>
      </c>
      <c r="V37" s="9" t="str">
        <f t="shared" si="2"/>
        <v/>
      </c>
      <c r="W37" s="9"/>
      <c r="X37" s="9" t="str">
        <f t="shared" si="2"/>
        <v/>
      </c>
      <c r="Y37" s="9"/>
      <c r="Z37" s="9" t="str">
        <f t="shared" si="1"/>
        <v/>
      </c>
      <c r="AA37" s="9"/>
      <c r="AB37" s="9" t="str">
        <f t="shared" si="1"/>
        <v/>
      </c>
      <c r="AC37" s="9"/>
      <c r="AD37" s="9" t="str">
        <f t="shared" si="1"/>
        <v/>
      </c>
    </row>
    <row r="38" spans="1:30" x14ac:dyDescent="0.25">
      <c r="A38" t="s">
        <v>41</v>
      </c>
      <c r="B38" s="9">
        <v>-5.9339999999999998E-5</v>
      </c>
      <c r="C38" s="9" t="str">
        <f t="shared" si="0"/>
        <v/>
      </c>
      <c r="D38" s="9" t="str">
        <f>+CONCATENATE(ROUND(B38,3), " ",C38)</f>
        <v xml:space="preserve">0 </v>
      </c>
      <c r="E38" s="9">
        <v>2.9999999999999997E-4</v>
      </c>
      <c r="F38" s="9" t="str">
        <f t="shared" si="0"/>
        <v/>
      </c>
      <c r="G38" s="9"/>
      <c r="H38" s="9" t="str">
        <f t="shared" si="0"/>
        <v>***</v>
      </c>
      <c r="I38" s="9"/>
      <c r="J38" s="9" t="str">
        <f t="shared" si="0"/>
        <v>***</v>
      </c>
      <c r="K38" s="9"/>
      <c r="L38" s="9" t="str">
        <f t="shared" si="0"/>
        <v>***</v>
      </c>
      <c r="M38" s="9"/>
      <c r="N38" s="9" t="str">
        <f t="shared" si="2"/>
        <v>***</v>
      </c>
      <c r="O38" s="9">
        <v>-1.8E-3</v>
      </c>
      <c r="P38" s="9" t="str">
        <f t="shared" si="2"/>
        <v>***</v>
      </c>
      <c r="Q38" s="9">
        <v>-8.9999999999999998E-4</v>
      </c>
      <c r="R38" s="9" t="str">
        <f t="shared" si="2"/>
        <v/>
      </c>
      <c r="S38" s="9">
        <v>-1.5E-3</v>
      </c>
      <c r="T38" s="9" t="str">
        <f t="shared" si="2"/>
        <v>**</v>
      </c>
      <c r="U38" s="9">
        <v>-6.9999999999999999E-4</v>
      </c>
      <c r="V38" s="9" t="str">
        <f t="shared" si="2"/>
        <v/>
      </c>
      <c r="W38" s="9"/>
      <c r="X38" s="9" t="str">
        <f t="shared" si="2"/>
        <v>***</v>
      </c>
      <c r="Y38" s="9"/>
      <c r="Z38" s="9" t="str">
        <f t="shared" si="1"/>
        <v>***</v>
      </c>
      <c r="AA38" s="9"/>
      <c r="AB38" s="9" t="str">
        <f t="shared" si="1"/>
        <v>***</v>
      </c>
      <c r="AC38" s="9"/>
      <c r="AD38" s="9" t="str">
        <f t="shared" si="1"/>
        <v>***</v>
      </c>
    </row>
    <row r="39" spans="1:30" x14ac:dyDescent="0.25">
      <c r="B39" s="9">
        <v>0</v>
      </c>
      <c r="C39" s="9" t="str">
        <f t="shared" si="0"/>
        <v/>
      </c>
      <c r="D39" s="9" t="str">
        <f>+CONCATENATE("(",ROUND(B39,3),")")</f>
        <v>(0)</v>
      </c>
      <c r="E39" s="9">
        <v>0</v>
      </c>
      <c r="F39" s="9" t="str">
        <f t="shared" si="0"/>
        <v/>
      </c>
      <c r="G39" s="9"/>
      <c r="H39" s="9" t="str">
        <f t="shared" si="0"/>
        <v/>
      </c>
      <c r="I39" s="9"/>
      <c r="J39" s="9" t="str">
        <f t="shared" si="0"/>
        <v/>
      </c>
      <c r="K39" s="9"/>
      <c r="L39" s="9" t="str">
        <f t="shared" si="0"/>
        <v/>
      </c>
      <c r="M39" s="9"/>
      <c r="N39" s="9" t="str">
        <f t="shared" si="2"/>
        <v/>
      </c>
      <c r="O39" s="9">
        <v>1E-3</v>
      </c>
      <c r="P39" s="9" t="str">
        <f t="shared" si="2"/>
        <v/>
      </c>
      <c r="Q39" s="9">
        <v>1E-3</v>
      </c>
      <c r="R39" s="9" t="str">
        <f t="shared" si="2"/>
        <v/>
      </c>
      <c r="S39" s="9">
        <v>1E-3</v>
      </c>
      <c r="T39" s="9" t="str">
        <f t="shared" si="2"/>
        <v/>
      </c>
      <c r="U39" s="9">
        <v>1E-3</v>
      </c>
      <c r="V39" s="9" t="str">
        <f t="shared" si="2"/>
        <v/>
      </c>
      <c r="W39" s="9"/>
      <c r="X39" s="9" t="str">
        <f t="shared" si="2"/>
        <v/>
      </c>
      <c r="Y39" s="9"/>
      <c r="Z39" s="9" t="str">
        <f t="shared" si="1"/>
        <v/>
      </c>
      <c r="AA39" s="9"/>
      <c r="AB39" s="9" t="str">
        <f t="shared" si="1"/>
        <v/>
      </c>
      <c r="AC39" s="9"/>
      <c r="AD39" s="9" t="str">
        <f t="shared" si="1"/>
        <v/>
      </c>
    </row>
    <row r="40" spans="1:30" x14ac:dyDescent="0.25">
      <c r="B40" s="9">
        <v>0.89400000000000002</v>
      </c>
      <c r="C40" s="9" t="str">
        <f t="shared" si="0"/>
        <v/>
      </c>
      <c r="D40" s="9"/>
      <c r="E40" s="9">
        <v>0.439</v>
      </c>
      <c r="F40" s="9" t="str">
        <f t="shared" si="0"/>
        <v/>
      </c>
      <c r="G40" s="9"/>
      <c r="H40" s="9" t="str">
        <f t="shared" si="0"/>
        <v/>
      </c>
      <c r="I40" s="9"/>
      <c r="J40" s="9" t="str">
        <f t="shared" si="0"/>
        <v/>
      </c>
      <c r="K40" s="9"/>
      <c r="L40" s="9" t="str">
        <f t="shared" si="0"/>
        <v/>
      </c>
      <c r="M40" s="9"/>
      <c r="N40" s="9" t="str">
        <f t="shared" si="2"/>
        <v/>
      </c>
      <c r="O40" s="9">
        <v>4.0000000000000001E-3</v>
      </c>
      <c r="P40" s="9" t="str">
        <f t="shared" si="2"/>
        <v/>
      </c>
      <c r="Q40" s="9">
        <v>0.13200000000000001</v>
      </c>
      <c r="R40" s="9" t="str">
        <f t="shared" si="2"/>
        <v/>
      </c>
      <c r="S40" s="9">
        <v>2.8000000000000001E-2</v>
      </c>
      <c r="T40" s="9" t="str">
        <f t="shared" si="2"/>
        <v/>
      </c>
      <c r="U40" s="9">
        <v>0.255</v>
      </c>
      <c r="V40" s="9" t="str">
        <f t="shared" si="2"/>
        <v/>
      </c>
      <c r="W40" s="9"/>
      <c r="X40" s="9" t="str">
        <f t="shared" si="2"/>
        <v/>
      </c>
      <c r="Y40" s="9"/>
      <c r="Z40" s="9" t="str">
        <f t="shared" si="1"/>
        <v/>
      </c>
      <c r="AA40" s="9"/>
      <c r="AB40" s="9" t="str">
        <f t="shared" si="1"/>
        <v/>
      </c>
      <c r="AC40" s="9"/>
      <c r="AD40" s="9" t="str">
        <f t="shared" si="1"/>
        <v/>
      </c>
    </row>
    <row r="41" spans="1:30" x14ac:dyDescent="0.25">
      <c r="A41" t="s">
        <v>42</v>
      </c>
      <c r="B41" s="9">
        <v>-2.69E-2</v>
      </c>
      <c r="C41" s="9" t="str">
        <f t="shared" si="0"/>
        <v>**</v>
      </c>
      <c r="D41" s="9" t="str">
        <f>+CONCATENATE(ROUND(B41,3), " ",C41)</f>
        <v>-0,027 **</v>
      </c>
      <c r="E41" s="9">
        <v>-1.7100000000000001E-2</v>
      </c>
      <c r="F41" s="9" t="str">
        <f t="shared" si="0"/>
        <v/>
      </c>
      <c r="G41" s="9"/>
      <c r="H41" s="9" t="str">
        <f t="shared" si="0"/>
        <v>***</v>
      </c>
      <c r="I41" s="9"/>
      <c r="J41" s="9" t="str">
        <f t="shared" si="0"/>
        <v>***</v>
      </c>
      <c r="K41" s="9"/>
      <c r="L41" s="9" t="str">
        <f t="shared" si="0"/>
        <v>***</v>
      </c>
      <c r="M41" s="9"/>
      <c r="N41" s="9" t="str">
        <f t="shared" si="2"/>
        <v>***</v>
      </c>
      <c r="O41" s="9"/>
      <c r="P41" s="9" t="str">
        <f t="shared" si="2"/>
        <v>***</v>
      </c>
      <c r="Q41" s="9"/>
      <c r="R41" s="9" t="str">
        <f t="shared" si="2"/>
        <v>***</v>
      </c>
      <c r="S41" s="9"/>
      <c r="T41" s="9" t="str">
        <f t="shared" si="2"/>
        <v>***</v>
      </c>
      <c r="U41" s="9"/>
      <c r="V41" s="9" t="str">
        <f t="shared" si="2"/>
        <v>***</v>
      </c>
      <c r="W41" s="9">
        <v>-3.9899999999999998E-2</v>
      </c>
      <c r="X41" s="9" t="str">
        <f t="shared" si="2"/>
        <v>***</v>
      </c>
      <c r="Y41" s="9">
        <v>-1.7899999999999999E-2</v>
      </c>
      <c r="Z41" s="9" t="str">
        <f t="shared" si="1"/>
        <v/>
      </c>
      <c r="AA41" s="9"/>
      <c r="AB41" s="9" t="str">
        <f t="shared" si="1"/>
        <v>***</v>
      </c>
      <c r="AC41" s="9"/>
      <c r="AD41" s="9" t="str">
        <f t="shared" si="1"/>
        <v>***</v>
      </c>
    </row>
    <row r="42" spans="1:30" x14ac:dyDescent="0.25">
      <c r="B42" s="9">
        <v>1.2999999999999999E-2</v>
      </c>
      <c r="C42" s="9" t="str">
        <f t="shared" si="0"/>
        <v/>
      </c>
      <c r="D42" s="9" t="str">
        <f>+CONCATENATE("(",ROUND(B42,3),")")</f>
        <v>(0,013)</v>
      </c>
      <c r="E42" s="9">
        <v>1.2999999999999999E-2</v>
      </c>
      <c r="F42" s="9" t="str">
        <f t="shared" si="0"/>
        <v/>
      </c>
      <c r="G42" s="9"/>
      <c r="H42" s="9" t="str">
        <f t="shared" si="0"/>
        <v/>
      </c>
      <c r="I42" s="9"/>
      <c r="J42" s="9" t="str">
        <f t="shared" si="0"/>
        <v/>
      </c>
      <c r="K42" s="9"/>
      <c r="L42" s="9" t="str">
        <f t="shared" si="0"/>
        <v/>
      </c>
      <c r="M42" s="9"/>
      <c r="N42" s="9" t="str">
        <f t="shared" si="2"/>
        <v/>
      </c>
      <c r="O42" s="9"/>
      <c r="P42" s="9" t="str">
        <f t="shared" si="2"/>
        <v/>
      </c>
      <c r="Q42" s="9"/>
      <c r="R42" s="9" t="str">
        <f t="shared" si="2"/>
        <v/>
      </c>
      <c r="S42" s="9"/>
      <c r="T42" s="9" t="str">
        <f t="shared" si="2"/>
        <v/>
      </c>
      <c r="U42" s="9"/>
      <c r="V42" s="9" t="str">
        <f t="shared" si="2"/>
        <v/>
      </c>
      <c r="W42" s="9">
        <v>1.4999999999999999E-2</v>
      </c>
      <c r="X42" s="9" t="str">
        <f t="shared" si="2"/>
        <v/>
      </c>
      <c r="Y42" s="9">
        <v>1.4E-2</v>
      </c>
      <c r="Z42" s="9" t="str">
        <f t="shared" si="1"/>
        <v/>
      </c>
      <c r="AA42" s="9"/>
      <c r="AB42" s="9" t="str">
        <f t="shared" si="1"/>
        <v/>
      </c>
      <c r="AC42" s="9"/>
      <c r="AD42" s="9" t="str">
        <f t="shared" si="1"/>
        <v/>
      </c>
    </row>
    <row r="43" spans="1:30" x14ac:dyDescent="0.25">
      <c r="B43" s="9">
        <v>0.04</v>
      </c>
      <c r="C43" s="9" t="str">
        <f t="shared" si="0"/>
        <v/>
      </c>
      <c r="D43" s="9"/>
      <c r="E43" s="9">
        <v>0.18099999999999999</v>
      </c>
      <c r="F43" s="9" t="str">
        <f t="shared" si="0"/>
        <v/>
      </c>
      <c r="G43" s="9"/>
      <c r="H43" s="9" t="str">
        <f t="shared" si="0"/>
        <v/>
      </c>
      <c r="I43" s="9"/>
      <c r="J43" s="9" t="str">
        <f t="shared" si="0"/>
        <v/>
      </c>
      <c r="K43" s="9"/>
      <c r="L43" s="9" t="str">
        <f t="shared" si="0"/>
        <v/>
      </c>
      <c r="M43" s="9"/>
      <c r="N43" s="9" t="str">
        <f t="shared" si="2"/>
        <v/>
      </c>
      <c r="O43" s="9"/>
      <c r="P43" s="9" t="str">
        <f t="shared" si="2"/>
        <v/>
      </c>
      <c r="Q43" s="9"/>
      <c r="R43" s="9" t="str">
        <f t="shared" si="2"/>
        <v/>
      </c>
      <c r="S43" s="9"/>
      <c r="T43" s="9" t="str">
        <f t="shared" si="2"/>
        <v/>
      </c>
      <c r="U43" s="9"/>
      <c r="V43" s="9" t="str">
        <f t="shared" si="2"/>
        <v/>
      </c>
      <c r="W43" s="9">
        <v>8.0000000000000002E-3</v>
      </c>
      <c r="X43" s="9" t="str">
        <f t="shared" si="2"/>
        <v/>
      </c>
      <c r="Y43" s="9">
        <v>0.20799999999999999</v>
      </c>
      <c r="Z43" s="9" t="str">
        <f t="shared" si="1"/>
        <v/>
      </c>
      <c r="AA43" s="9"/>
      <c r="AB43" s="9" t="str">
        <f t="shared" si="1"/>
        <v/>
      </c>
      <c r="AC43" s="9"/>
      <c r="AD43" s="9" t="str">
        <f t="shared" si="1"/>
        <v/>
      </c>
    </row>
    <row r="44" spans="1:30" x14ac:dyDescent="0.25">
      <c r="A44" t="s">
        <v>43</v>
      </c>
      <c r="B44" s="9">
        <v>6.7299999999999999E-2</v>
      </c>
      <c r="C44" s="9" t="str">
        <f t="shared" si="0"/>
        <v>***</v>
      </c>
      <c r="D44" s="9" t="str">
        <f>+CONCATENATE(ROUND(B44,3), " ",C44)</f>
        <v>0,067 ***</v>
      </c>
      <c r="E44" s="9">
        <v>5.5300000000000002E-2</v>
      </c>
      <c r="F44" s="9" t="str">
        <f t="shared" si="0"/>
        <v>***</v>
      </c>
      <c r="G44" s="9">
        <v>3.8600000000000002E-2</v>
      </c>
      <c r="H44" s="9" t="str">
        <f t="shared" si="0"/>
        <v>***</v>
      </c>
      <c r="I44" s="9">
        <v>3.5900000000000001E-2</v>
      </c>
      <c r="J44" s="9" t="str">
        <f t="shared" si="0"/>
        <v>***</v>
      </c>
      <c r="K44" s="9">
        <v>3.49E-2</v>
      </c>
      <c r="L44" s="9" t="str">
        <f t="shared" si="0"/>
        <v>***</v>
      </c>
      <c r="M44" s="9">
        <v>3.2800000000000003E-2</v>
      </c>
      <c r="N44" s="9" t="str">
        <f t="shared" si="2"/>
        <v>***</v>
      </c>
      <c r="O44" s="9"/>
      <c r="P44" s="9" t="str">
        <f t="shared" si="2"/>
        <v>***</v>
      </c>
      <c r="Q44" s="9"/>
      <c r="R44" s="9" t="str">
        <f t="shared" si="2"/>
        <v>***</v>
      </c>
      <c r="S44" s="9"/>
      <c r="T44" s="9" t="str">
        <f t="shared" si="2"/>
        <v>***</v>
      </c>
      <c r="U44" s="9"/>
      <c r="V44" s="9" t="str">
        <f t="shared" si="2"/>
        <v>***</v>
      </c>
      <c r="W44" s="9">
        <v>7.6999999999999999E-2</v>
      </c>
      <c r="X44" s="9" t="str">
        <f t="shared" ref="X44:AD58" si="3">+IF($A44&lt;&gt;"",IF(W46&lt;0.01,"***",IF(W46&lt;0.05,"**",IF(W46&lt;0.1,"*",""))),"")</f>
        <v>***</v>
      </c>
      <c r="Y44" s="9">
        <v>5.3100000000000001E-2</v>
      </c>
      <c r="Z44" s="9" t="str">
        <f t="shared" si="3"/>
        <v>***</v>
      </c>
      <c r="AA44" s="9">
        <v>3.5900000000000001E-2</v>
      </c>
      <c r="AB44" s="9" t="str">
        <f t="shared" si="3"/>
        <v>***</v>
      </c>
      <c r="AC44" s="9">
        <v>3.4099999999999998E-2</v>
      </c>
      <c r="AD44" s="9" t="str">
        <f t="shared" si="3"/>
        <v>***</v>
      </c>
    </row>
    <row r="45" spans="1:30" x14ac:dyDescent="0.25">
      <c r="B45" s="9">
        <v>1.4E-2</v>
      </c>
      <c r="C45" s="9" t="str">
        <f t="shared" si="0"/>
        <v/>
      </c>
      <c r="D45" s="9" t="str">
        <f>+CONCATENATE("(",ROUND(B45,3),")")</f>
        <v>(0,014)</v>
      </c>
      <c r="E45" s="9">
        <v>1.4E-2</v>
      </c>
      <c r="F45" s="9" t="str">
        <f t="shared" si="0"/>
        <v/>
      </c>
      <c r="G45" s="9">
        <v>1E-3</v>
      </c>
      <c r="H45" s="9" t="str">
        <f t="shared" si="0"/>
        <v/>
      </c>
      <c r="I45" s="9">
        <v>1E-3</v>
      </c>
      <c r="J45" s="9" t="str">
        <f t="shared" si="0"/>
        <v/>
      </c>
      <c r="K45" s="9">
        <v>1E-3</v>
      </c>
      <c r="L45" s="9" t="str">
        <f t="shared" si="0"/>
        <v/>
      </c>
      <c r="M45" s="9">
        <v>1E-3</v>
      </c>
      <c r="N45" s="9" t="str">
        <f t="shared" si="2"/>
        <v/>
      </c>
      <c r="O45" s="9"/>
      <c r="P45" s="9" t="str">
        <f t="shared" si="2"/>
        <v/>
      </c>
      <c r="Q45" s="9"/>
      <c r="R45" s="9" t="str">
        <f t="shared" si="2"/>
        <v/>
      </c>
      <c r="S45" s="9"/>
      <c r="T45" s="9" t="str">
        <f t="shared" si="2"/>
        <v/>
      </c>
      <c r="U45" s="9"/>
      <c r="V45" s="9" t="str">
        <f t="shared" si="2"/>
        <v/>
      </c>
      <c r="W45" s="9">
        <v>1.6E-2</v>
      </c>
      <c r="X45" s="9" t="str">
        <f t="shared" si="3"/>
        <v/>
      </c>
      <c r="Y45" s="9">
        <v>1.4999999999999999E-2</v>
      </c>
      <c r="Z45" s="9" t="str">
        <f t="shared" si="3"/>
        <v/>
      </c>
      <c r="AA45" s="9">
        <v>1E-3</v>
      </c>
      <c r="AB45" s="9" t="str">
        <f t="shared" si="3"/>
        <v/>
      </c>
      <c r="AC45" s="9">
        <v>1E-3</v>
      </c>
      <c r="AD45" s="9" t="str">
        <f t="shared" si="3"/>
        <v/>
      </c>
    </row>
    <row r="46" spans="1:30" x14ac:dyDescent="0.25">
      <c r="B46" s="9">
        <v>0</v>
      </c>
      <c r="C46" s="9" t="str">
        <f t="shared" si="0"/>
        <v/>
      </c>
      <c r="D46" s="9"/>
      <c r="E46" s="9">
        <v>0</v>
      </c>
      <c r="F46" s="9" t="str">
        <f t="shared" si="0"/>
        <v/>
      </c>
      <c r="G46" s="9">
        <v>0</v>
      </c>
      <c r="H46" s="9" t="str">
        <f t="shared" si="0"/>
        <v/>
      </c>
      <c r="I46" s="9">
        <v>0</v>
      </c>
      <c r="J46" s="9" t="str">
        <f t="shared" si="0"/>
        <v/>
      </c>
      <c r="K46" s="9">
        <v>0</v>
      </c>
      <c r="L46" s="9" t="str">
        <f t="shared" si="0"/>
        <v/>
      </c>
      <c r="M46" s="9">
        <v>0</v>
      </c>
      <c r="N46" s="9" t="str">
        <f t="shared" si="2"/>
        <v/>
      </c>
      <c r="O46" s="9"/>
      <c r="P46" s="9" t="str">
        <f t="shared" si="2"/>
        <v/>
      </c>
      <c r="Q46" s="9"/>
      <c r="R46" s="9" t="str">
        <f t="shared" si="2"/>
        <v/>
      </c>
      <c r="S46" s="9"/>
      <c r="T46" s="9" t="str">
        <f t="shared" si="2"/>
        <v/>
      </c>
      <c r="U46" s="9"/>
      <c r="V46" s="9" t="str">
        <f t="shared" si="2"/>
        <v/>
      </c>
      <c r="W46" s="9">
        <v>0</v>
      </c>
      <c r="X46" s="9" t="str">
        <f t="shared" si="3"/>
        <v/>
      </c>
      <c r="Y46" s="9">
        <v>1E-3</v>
      </c>
      <c r="Z46" s="9" t="str">
        <f t="shared" si="3"/>
        <v/>
      </c>
      <c r="AA46" s="9">
        <v>0</v>
      </c>
      <c r="AB46" s="9" t="str">
        <f t="shared" si="3"/>
        <v/>
      </c>
      <c r="AC46" s="9">
        <v>0</v>
      </c>
      <c r="AD46" s="9" t="str">
        <f t="shared" si="3"/>
        <v/>
      </c>
    </row>
    <row r="47" spans="1:30" x14ac:dyDescent="0.25">
      <c r="A47" t="s">
        <v>44</v>
      </c>
      <c r="B47" s="9">
        <v>-0.20449999999999999</v>
      </c>
      <c r="C47" s="9" t="str">
        <f t="shared" si="0"/>
        <v>***</v>
      </c>
      <c r="D47" s="9" t="str">
        <f>+CONCATENATE(ROUND(B47,3), " ",C47)</f>
        <v>-0,205 ***</v>
      </c>
      <c r="E47" s="9">
        <v>-0.17960000000000001</v>
      </c>
      <c r="F47" s="9" t="str">
        <f t="shared" si="0"/>
        <v>***</v>
      </c>
      <c r="G47" s="9">
        <v>-0.20949999999999999</v>
      </c>
      <c r="H47" s="9" t="str">
        <f t="shared" si="0"/>
        <v>***</v>
      </c>
      <c r="I47" s="9">
        <v>-0.18160000000000001</v>
      </c>
      <c r="J47" s="9" t="str">
        <f t="shared" si="0"/>
        <v>***</v>
      </c>
      <c r="K47" s="9"/>
      <c r="L47" s="9" t="str">
        <f t="shared" si="0"/>
        <v>***</v>
      </c>
      <c r="M47" s="9"/>
      <c r="N47" s="9" t="str">
        <f t="shared" si="2"/>
        <v>***</v>
      </c>
      <c r="O47" s="9">
        <v>-0.16159999999999999</v>
      </c>
      <c r="P47" s="9" t="str">
        <f t="shared" si="2"/>
        <v>***</v>
      </c>
      <c r="Q47" s="9">
        <v>-0.1575</v>
      </c>
      <c r="R47" s="9" t="str">
        <f t="shared" si="2"/>
        <v>***</v>
      </c>
      <c r="S47" s="9">
        <v>-0.17680000000000001</v>
      </c>
      <c r="T47" s="9" t="str">
        <f t="shared" si="2"/>
        <v>***</v>
      </c>
      <c r="U47" s="9">
        <v>-0.17380000000000001</v>
      </c>
      <c r="V47" s="9" t="str">
        <f t="shared" si="2"/>
        <v>***</v>
      </c>
      <c r="W47" s="9"/>
      <c r="X47" s="9" t="str">
        <f t="shared" si="3"/>
        <v>***</v>
      </c>
      <c r="Y47" s="9"/>
      <c r="Z47" s="9" t="str">
        <f t="shared" si="3"/>
        <v>***</v>
      </c>
      <c r="AA47" s="9"/>
      <c r="AB47" s="9" t="str">
        <f t="shared" si="3"/>
        <v>***</v>
      </c>
      <c r="AC47" s="9"/>
      <c r="AD47" s="9" t="str">
        <f t="shared" si="3"/>
        <v>***</v>
      </c>
    </row>
    <row r="48" spans="1:30" x14ac:dyDescent="0.25">
      <c r="B48" s="9">
        <v>1.7999999999999999E-2</v>
      </c>
      <c r="C48" s="9" t="str">
        <f t="shared" si="0"/>
        <v/>
      </c>
      <c r="D48" s="9" t="str">
        <f>+CONCATENATE("(",ROUND(B48,3),")")</f>
        <v>(0,018)</v>
      </c>
      <c r="E48" s="9">
        <v>1.7999999999999999E-2</v>
      </c>
      <c r="F48" s="9" t="str">
        <f t="shared" si="0"/>
        <v/>
      </c>
      <c r="G48" s="9">
        <v>1.7000000000000001E-2</v>
      </c>
      <c r="H48" s="9" t="str">
        <f t="shared" si="0"/>
        <v/>
      </c>
      <c r="I48" s="9">
        <v>1.7999999999999999E-2</v>
      </c>
      <c r="J48" s="9" t="str">
        <f t="shared" si="0"/>
        <v/>
      </c>
      <c r="K48" s="9"/>
      <c r="L48" s="9" t="str">
        <f t="shared" si="0"/>
        <v/>
      </c>
      <c r="M48" s="9"/>
      <c r="N48" s="9" t="str">
        <f t="shared" si="2"/>
        <v/>
      </c>
      <c r="O48" s="9">
        <v>2.5000000000000001E-2</v>
      </c>
      <c r="P48" s="9" t="str">
        <f t="shared" si="2"/>
        <v/>
      </c>
      <c r="Q48" s="9">
        <v>2.4E-2</v>
      </c>
      <c r="R48" s="9" t="str">
        <f t="shared" si="2"/>
        <v/>
      </c>
      <c r="S48" s="9">
        <v>2.7E-2</v>
      </c>
      <c r="T48" s="9" t="str">
        <f t="shared" si="2"/>
        <v/>
      </c>
      <c r="U48" s="9">
        <v>2.7E-2</v>
      </c>
      <c r="V48" s="9" t="str">
        <f t="shared" si="2"/>
        <v/>
      </c>
      <c r="W48" s="9"/>
      <c r="X48" s="9" t="str">
        <f t="shared" si="3"/>
        <v/>
      </c>
      <c r="Y48" s="9"/>
      <c r="Z48" s="9" t="str">
        <f t="shared" si="3"/>
        <v/>
      </c>
      <c r="AA48" s="9"/>
      <c r="AB48" s="9" t="str">
        <f t="shared" si="3"/>
        <v/>
      </c>
      <c r="AC48" s="9"/>
      <c r="AD48" s="9" t="str">
        <f t="shared" si="3"/>
        <v/>
      </c>
    </row>
    <row r="49" spans="1:30" x14ac:dyDescent="0.25">
      <c r="B49" s="9">
        <v>0</v>
      </c>
      <c r="C49" s="9" t="str">
        <f t="shared" si="0"/>
        <v/>
      </c>
      <c r="D49" s="9"/>
      <c r="E49" s="9">
        <v>0</v>
      </c>
      <c r="F49" s="9" t="str">
        <f t="shared" si="0"/>
        <v/>
      </c>
      <c r="G49" s="9">
        <v>0</v>
      </c>
      <c r="H49" s="9" t="str">
        <f t="shared" si="0"/>
        <v/>
      </c>
      <c r="I49" s="9">
        <v>0</v>
      </c>
      <c r="J49" s="9" t="str">
        <f t="shared" si="0"/>
        <v/>
      </c>
      <c r="K49" s="9"/>
      <c r="L49" s="9" t="str">
        <f t="shared" si="0"/>
        <v/>
      </c>
      <c r="M49" s="9"/>
      <c r="N49" s="9" t="str">
        <f t="shared" si="2"/>
        <v/>
      </c>
      <c r="O49" s="9">
        <v>0</v>
      </c>
      <c r="P49" s="9" t="str">
        <f t="shared" si="2"/>
        <v/>
      </c>
      <c r="Q49" s="9">
        <v>0</v>
      </c>
      <c r="R49" s="9" t="str">
        <f t="shared" si="2"/>
        <v/>
      </c>
      <c r="S49" s="9">
        <v>0</v>
      </c>
      <c r="T49" s="9" t="str">
        <f t="shared" si="2"/>
        <v/>
      </c>
      <c r="U49" s="9">
        <v>0</v>
      </c>
      <c r="V49" s="9" t="str">
        <f t="shared" si="2"/>
        <v/>
      </c>
      <c r="W49" s="9"/>
      <c r="X49" s="9" t="str">
        <f t="shared" si="3"/>
        <v/>
      </c>
      <c r="Y49" s="9"/>
      <c r="Z49" s="9" t="str">
        <f t="shared" si="3"/>
        <v/>
      </c>
      <c r="AA49" s="9"/>
      <c r="AB49" s="9" t="str">
        <f t="shared" si="3"/>
        <v/>
      </c>
      <c r="AC49" s="9"/>
      <c r="AD49" s="9" t="str">
        <f t="shared" si="3"/>
        <v/>
      </c>
    </row>
    <row r="50" spans="1:30" x14ac:dyDescent="0.25">
      <c r="A50" t="s">
        <v>45</v>
      </c>
      <c r="B50" s="9">
        <v>-7.7000000000000002E-3</v>
      </c>
      <c r="C50" s="9" t="str">
        <f t="shared" si="0"/>
        <v/>
      </c>
      <c r="D50" s="9" t="str">
        <f>+CONCATENATE(ROUND(B50,3), " ",C50)</f>
        <v xml:space="preserve">-0,008 </v>
      </c>
      <c r="E50" s="9">
        <v>-1.9E-3</v>
      </c>
      <c r="F50" s="9" t="str">
        <f t="shared" si="0"/>
        <v/>
      </c>
      <c r="G50" s="9">
        <v>-1.0999999999999999E-2</v>
      </c>
      <c r="H50" s="9" t="str">
        <f t="shared" si="0"/>
        <v/>
      </c>
      <c r="I50" s="9">
        <v>-2.5000000000000001E-3</v>
      </c>
      <c r="J50" s="9" t="str">
        <f t="shared" si="0"/>
        <v/>
      </c>
      <c r="K50" s="9"/>
      <c r="L50" s="9" t="str">
        <f t="shared" si="0"/>
        <v>***</v>
      </c>
      <c r="M50" s="9"/>
      <c r="N50" s="9" t="str">
        <f t="shared" si="2"/>
        <v>***</v>
      </c>
      <c r="O50" s="9"/>
      <c r="P50" s="9" t="str">
        <f t="shared" si="2"/>
        <v>***</v>
      </c>
      <c r="Q50" s="9"/>
      <c r="R50" s="9" t="str">
        <f t="shared" si="2"/>
        <v>***</v>
      </c>
      <c r="S50" s="9">
        <v>5.9799999999999999E-2</v>
      </c>
      <c r="T50" s="9" t="str">
        <f t="shared" si="2"/>
        <v>***</v>
      </c>
      <c r="U50" s="9">
        <v>3.4599999999999999E-2</v>
      </c>
      <c r="V50" s="9" t="str">
        <f t="shared" si="2"/>
        <v>**</v>
      </c>
      <c r="W50" s="9">
        <v>6.0000000000000001E-3</v>
      </c>
      <c r="X50" s="9" t="str">
        <f t="shared" si="3"/>
        <v/>
      </c>
      <c r="Y50" s="9">
        <v>9.7999999999999997E-3</v>
      </c>
      <c r="Z50" s="9" t="str">
        <f t="shared" si="3"/>
        <v/>
      </c>
      <c r="AA50" s="9">
        <v>9.4999999999999998E-3</v>
      </c>
      <c r="AB50" s="9" t="str">
        <f t="shared" si="3"/>
        <v/>
      </c>
      <c r="AC50" s="9">
        <v>1.44E-2</v>
      </c>
      <c r="AD50" s="9" t="str">
        <f t="shared" si="3"/>
        <v/>
      </c>
    </row>
    <row r="51" spans="1:30" x14ac:dyDescent="0.25">
      <c r="B51" s="9">
        <v>1.0999999999999999E-2</v>
      </c>
      <c r="C51" s="9" t="str">
        <f t="shared" si="0"/>
        <v/>
      </c>
      <c r="D51" s="9" t="str">
        <f>+CONCATENATE("(",ROUND(B51,3),")")</f>
        <v>(0,011)</v>
      </c>
      <c r="E51" s="9">
        <v>1.0999999999999999E-2</v>
      </c>
      <c r="F51" s="9" t="str">
        <f t="shared" si="0"/>
        <v/>
      </c>
      <c r="G51" s="9">
        <v>0.01</v>
      </c>
      <c r="H51" s="9" t="str">
        <f t="shared" si="0"/>
        <v/>
      </c>
      <c r="I51" s="9">
        <v>1.0999999999999999E-2</v>
      </c>
      <c r="J51" s="9" t="str">
        <f t="shared" si="0"/>
        <v/>
      </c>
      <c r="K51" s="9"/>
      <c r="L51" s="9" t="str">
        <f t="shared" si="0"/>
        <v/>
      </c>
      <c r="M51" s="9"/>
      <c r="N51" s="9" t="str">
        <f t="shared" si="2"/>
        <v/>
      </c>
      <c r="O51" s="9"/>
      <c r="P51" s="9" t="str">
        <f t="shared" si="2"/>
        <v/>
      </c>
      <c r="Q51" s="9"/>
      <c r="R51" s="9" t="str">
        <f t="shared" si="2"/>
        <v/>
      </c>
      <c r="S51" s="9">
        <v>1.6E-2</v>
      </c>
      <c r="T51" s="9" t="str">
        <f t="shared" si="2"/>
        <v/>
      </c>
      <c r="U51" s="9">
        <v>1.6E-2</v>
      </c>
      <c r="V51" s="9" t="str">
        <f t="shared" si="2"/>
        <v/>
      </c>
      <c r="W51" s="9">
        <v>1.2E-2</v>
      </c>
      <c r="X51" s="9" t="str">
        <f t="shared" si="3"/>
        <v/>
      </c>
      <c r="Y51" s="9">
        <v>1.2E-2</v>
      </c>
      <c r="Z51" s="9" t="str">
        <f t="shared" si="3"/>
        <v/>
      </c>
      <c r="AA51" s="9">
        <v>1.2E-2</v>
      </c>
      <c r="AB51" s="9" t="str">
        <f t="shared" si="3"/>
        <v/>
      </c>
      <c r="AC51" s="9">
        <v>1.2E-2</v>
      </c>
      <c r="AD51" s="9" t="str">
        <f t="shared" si="3"/>
        <v/>
      </c>
    </row>
    <row r="52" spans="1:30" x14ac:dyDescent="0.25">
      <c r="B52" s="9">
        <v>0.48099999999999998</v>
      </c>
      <c r="C52" s="9" t="str">
        <f t="shared" si="0"/>
        <v/>
      </c>
      <c r="D52" s="9"/>
      <c r="E52" s="9">
        <v>0.86499999999999999</v>
      </c>
      <c r="F52" s="9" t="str">
        <f t="shared" si="0"/>
        <v/>
      </c>
      <c r="G52" s="9">
        <v>0.29499999999999998</v>
      </c>
      <c r="H52" s="9" t="str">
        <f t="shared" si="0"/>
        <v/>
      </c>
      <c r="I52" s="9">
        <v>0.81299999999999994</v>
      </c>
      <c r="J52" s="9" t="str">
        <f t="shared" si="0"/>
        <v/>
      </c>
      <c r="K52" s="9"/>
      <c r="L52" s="9" t="str">
        <f t="shared" si="0"/>
        <v/>
      </c>
      <c r="M52" s="9"/>
      <c r="N52" s="9" t="str">
        <f t="shared" si="2"/>
        <v/>
      </c>
      <c r="O52" s="9"/>
      <c r="P52" s="9" t="str">
        <f t="shared" si="2"/>
        <v/>
      </c>
      <c r="Q52" s="9"/>
      <c r="R52" s="9" t="str">
        <f t="shared" si="2"/>
        <v/>
      </c>
      <c r="S52" s="9">
        <v>0</v>
      </c>
      <c r="T52" s="9" t="str">
        <f t="shared" si="2"/>
        <v/>
      </c>
      <c r="U52" s="9">
        <v>2.8000000000000001E-2</v>
      </c>
      <c r="V52" s="9" t="str">
        <f t="shared" si="2"/>
        <v/>
      </c>
      <c r="W52" s="9">
        <v>0.621</v>
      </c>
      <c r="X52" s="9" t="str">
        <f t="shared" si="3"/>
        <v/>
      </c>
      <c r="Y52" s="9">
        <v>0.41</v>
      </c>
      <c r="Z52" s="9" t="str">
        <f t="shared" si="3"/>
        <v/>
      </c>
      <c r="AA52" s="9">
        <v>0.43099999999999999</v>
      </c>
      <c r="AB52" s="9" t="str">
        <f t="shared" si="3"/>
        <v/>
      </c>
      <c r="AC52" s="9">
        <v>0.24</v>
      </c>
      <c r="AD52" s="9" t="str">
        <f t="shared" si="3"/>
        <v/>
      </c>
    </row>
    <row r="53" spans="1:30" x14ac:dyDescent="0.25">
      <c r="A53" t="s">
        <v>46</v>
      </c>
      <c r="B53" s="9">
        <v>-1.6400000000000001E-2</v>
      </c>
      <c r="C53" s="9" t="str">
        <f t="shared" si="0"/>
        <v/>
      </c>
      <c r="D53" s="9" t="str">
        <f>+CONCATENATE(ROUND(B53,3), " ",C53)</f>
        <v xml:space="preserve">-0,016 </v>
      </c>
      <c r="E53" s="9">
        <v>9.7600000000000006E-2</v>
      </c>
      <c r="F53" s="9" t="str">
        <f t="shared" si="0"/>
        <v/>
      </c>
      <c r="G53" s="9"/>
      <c r="H53" s="9" t="str">
        <f t="shared" si="0"/>
        <v>***</v>
      </c>
      <c r="I53" s="9"/>
      <c r="J53" s="9" t="str">
        <f t="shared" si="0"/>
        <v>***</v>
      </c>
      <c r="K53" s="9"/>
      <c r="L53" s="9" t="str">
        <f t="shared" si="0"/>
        <v>***</v>
      </c>
      <c r="M53" s="9"/>
      <c r="N53" s="9" t="str">
        <f t="shared" si="2"/>
        <v>***</v>
      </c>
      <c r="O53" s="9">
        <v>-0.61909999999999998</v>
      </c>
      <c r="P53" s="9" t="str">
        <f t="shared" si="2"/>
        <v>***</v>
      </c>
      <c r="Q53" s="9">
        <v>-0.60229999999999995</v>
      </c>
      <c r="R53" s="9" t="str">
        <f t="shared" si="2"/>
        <v>***</v>
      </c>
      <c r="S53" s="9"/>
      <c r="T53" s="9" t="str">
        <f t="shared" si="2"/>
        <v>***</v>
      </c>
      <c r="U53" s="9"/>
      <c r="V53" s="9" t="str">
        <f t="shared" si="2"/>
        <v>***</v>
      </c>
      <c r="W53" s="9">
        <v>-0.1183</v>
      </c>
      <c r="X53" s="9" t="str">
        <f t="shared" si="3"/>
        <v/>
      </c>
      <c r="Y53" s="9">
        <v>-3.2899999999999999E-2</v>
      </c>
      <c r="Z53" s="9" t="str">
        <f t="shared" si="3"/>
        <v/>
      </c>
      <c r="AA53" s="9"/>
      <c r="AB53" s="9" t="str">
        <f t="shared" si="3"/>
        <v>***</v>
      </c>
      <c r="AC53" s="9"/>
      <c r="AD53" s="9" t="str">
        <f t="shared" si="3"/>
        <v>***</v>
      </c>
    </row>
    <row r="54" spans="1:30" x14ac:dyDescent="0.25">
      <c r="B54" s="9">
        <v>9.8000000000000004E-2</v>
      </c>
      <c r="C54" s="9" t="str">
        <f t="shared" si="0"/>
        <v/>
      </c>
      <c r="D54" s="9" t="str">
        <f>+CONCATENATE("(",ROUND(B54,3),")")</f>
        <v>(0,098)</v>
      </c>
      <c r="E54" s="9">
        <v>0.11600000000000001</v>
      </c>
      <c r="F54" s="9" t="str">
        <f t="shared" si="0"/>
        <v/>
      </c>
      <c r="G54" s="9"/>
      <c r="H54" s="9" t="str">
        <f t="shared" si="0"/>
        <v/>
      </c>
      <c r="I54" s="9"/>
      <c r="J54" s="9" t="str">
        <f t="shared" si="0"/>
        <v/>
      </c>
      <c r="K54" s="9"/>
      <c r="L54" s="9" t="str">
        <f t="shared" si="0"/>
        <v/>
      </c>
      <c r="M54" s="9"/>
      <c r="N54" s="9" t="str">
        <f t="shared" si="2"/>
        <v/>
      </c>
      <c r="O54" s="9">
        <v>0.124</v>
      </c>
      <c r="P54" s="9" t="str">
        <f t="shared" si="2"/>
        <v/>
      </c>
      <c r="Q54" s="9">
        <v>0.14099999999999999</v>
      </c>
      <c r="R54" s="9" t="str">
        <f t="shared" si="2"/>
        <v/>
      </c>
      <c r="S54" s="9"/>
      <c r="T54" s="9" t="str">
        <f t="shared" si="2"/>
        <v/>
      </c>
      <c r="U54" s="9"/>
      <c r="V54" s="9" t="str">
        <f t="shared" si="2"/>
        <v/>
      </c>
      <c r="W54" s="9">
        <v>0.111</v>
      </c>
      <c r="X54" s="9" t="str">
        <f t="shared" si="3"/>
        <v/>
      </c>
      <c r="Y54" s="9">
        <v>0.128</v>
      </c>
      <c r="Z54" s="9" t="str">
        <f t="shared" si="3"/>
        <v/>
      </c>
      <c r="AA54" s="9"/>
      <c r="AB54" s="9" t="str">
        <f t="shared" si="3"/>
        <v/>
      </c>
      <c r="AC54" s="9"/>
      <c r="AD54" s="9" t="str">
        <f t="shared" si="3"/>
        <v/>
      </c>
    </row>
    <row r="55" spans="1:30" x14ac:dyDescent="0.25">
      <c r="B55" s="9">
        <v>0.86599999999999999</v>
      </c>
      <c r="C55" s="9" t="str">
        <f t="shared" si="0"/>
        <v/>
      </c>
      <c r="D55" s="9"/>
      <c r="E55" s="9">
        <v>0.40200000000000002</v>
      </c>
      <c r="F55" s="9" t="str">
        <f t="shared" si="0"/>
        <v/>
      </c>
      <c r="G55" s="9"/>
      <c r="H55" s="9" t="str">
        <f t="shared" si="0"/>
        <v/>
      </c>
      <c r="I55" s="9"/>
      <c r="J55" s="9" t="str">
        <f t="shared" si="0"/>
        <v/>
      </c>
      <c r="K55" s="9"/>
      <c r="L55" s="9" t="str">
        <f t="shared" si="0"/>
        <v/>
      </c>
      <c r="M55" s="9"/>
      <c r="N55" s="9" t="str">
        <f t="shared" si="2"/>
        <v/>
      </c>
      <c r="O55" s="9">
        <v>0</v>
      </c>
      <c r="P55" s="9" t="str">
        <f t="shared" si="2"/>
        <v/>
      </c>
      <c r="Q55" s="9">
        <v>0</v>
      </c>
      <c r="R55" s="9" t="str">
        <f t="shared" si="2"/>
        <v/>
      </c>
      <c r="S55" s="9"/>
      <c r="T55" s="9" t="str">
        <f t="shared" si="2"/>
        <v/>
      </c>
      <c r="U55" s="9"/>
      <c r="V55" s="9" t="str">
        <f t="shared" si="2"/>
        <v/>
      </c>
      <c r="W55" s="9">
        <v>0.28599999999999998</v>
      </c>
      <c r="X55" s="9" t="str">
        <f t="shared" si="3"/>
        <v/>
      </c>
      <c r="Y55" s="9">
        <v>0.79800000000000004</v>
      </c>
      <c r="Z55" s="9" t="str">
        <f t="shared" si="3"/>
        <v/>
      </c>
      <c r="AA55" s="9"/>
      <c r="AB55" s="9" t="str">
        <f t="shared" si="3"/>
        <v/>
      </c>
      <c r="AC55" s="9"/>
      <c r="AD55" s="9" t="str">
        <f t="shared" si="3"/>
        <v/>
      </c>
    </row>
    <row r="56" spans="1:30" x14ac:dyDescent="0.25">
      <c r="A56" t="s">
        <v>47</v>
      </c>
      <c r="B56" s="9">
        <v>2.6959999999999999E-5</v>
      </c>
      <c r="C56" s="9" t="str">
        <f t="shared" si="0"/>
        <v/>
      </c>
      <c r="D56" s="9" t="str">
        <f>+CONCATENATE(ROUND(B56,3), " ",C56)</f>
        <v xml:space="preserve">0 </v>
      </c>
      <c r="E56" s="9">
        <v>3.2509999999999999E-5</v>
      </c>
      <c r="F56" s="9" t="str">
        <f t="shared" si="0"/>
        <v>*</v>
      </c>
      <c r="G56" s="9"/>
      <c r="H56" s="9" t="str">
        <f t="shared" si="0"/>
        <v>***</v>
      </c>
      <c r="I56" s="9"/>
      <c r="J56" s="9" t="str">
        <f t="shared" si="0"/>
        <v>***</v>
      </c>
      <c r="K56" s="9">
        <v>4.5250000000000002E-5</v>
      </c>
      <c r="L56" s="9" t="str">
        <f t="shared" si="0"/>
        <v>**</v>
      </c>
      <c r="M56" s="9">
        <v>5.5000000000000002E-5</v>
      </c>
      <c r="N56" s="9" t="str">
        <f t="shared" si="2"/>
        <v>***</v>
      </c>
      <c r="O56" s="9">
        <v>7.5199999999999998E-5</v>
      </c>
      <c r="P56" s="9" t="str">
        <f t="shared" si="2"/>
        <v>***</v>
      </c>
      <c r="Q56" s="9">
        <v>8.3440000000000001E-5</v>
      </c>
      <c r="R56" s="9" t="str">
        <f t="shared" si="2"/>
        <v>***</v>
      </c>
      <c r="S56" s="9"/>
      <c r="T56" s="9" t="str">
        <f t="shared" si="2"/>
        <v>***</v>
      </c>
      <c r="U56" s="9"/>
      <c r="V56" s="9" t="str">
        <f t="shared" si="2"/>
        <v>***</v>
      </c>
      <c r="W56" s="9">
        <v>4.3479999999999997E-5</v>
      </c>
      <c r="X56" s="9" t="str">
        <f t="shared" si="3"/>
        <v>**</v>
      </c>
      <c r="Y56" s="9">
        <v>4.7299999999999998E-5</v>
      </c>
      <c r="Z56" s="9" t="str">
        <f t="shared" si="3"/>
        <v>**</v>
      </c>
      <c r="AA56" s="9"/>
      <c r="AB56" s="9" t="str">
        <f t="shared" si="3"/>
        <v>***</v>
      </c>
      <c r="AC56" s="9"/>
      <c r="AD56" s="9" t="str">
        <f t="shared" si="3"/>
        <v>***</v>
      </c>
    </row>
    <row r="57" spans="1:30" x14ac:dyDescent="0.25">
      <c r="B57" s="9">
        <v>1.77E-5</v>
      </c>
      <c r="C57" s="9" t="str">
        <f t="shared" si="0"/>
        <v/>
      </c>
      <c r="D57" s="9" t="str">
        <f>+CONCATENATE("(",ROUND(B57,3),")")</f>
        <v>(0)</v>
      </c>
      <c r="E57" s="9">
        <v>1.7200000000000001E-5</v>
      </c>
      <c r="F57" s="9" t="str">
        <f t="shared" si="0"/>
        <v/>
      </c>
      <c r="G57" s="9"/>
      <c r="H57" s="9" t="str">
        <f t="shared" si="0"/>
        <v/>
      </c>
      <c r="I57" s="9"/>
      <c r="J57" s="9" t="str">
        <f t="shared" si="0"/>
        <v/>
      </c>
      <c r="K57" s="9">
        <v>1.84E-5</v>
      </c>
      <c r="L57" s="9" t="str">
        <f t="shared" si="0"/>
        <v/>
      </c>
      <c r="M57" s="9">
        <v>1.73E-5</v>
      </c>
      <c r="N57" s="9" t="str">
        <f t="shared" si="2"/>
        <v/>
      </c>
      <c r="O57" s="9">
        <v>2.5000000000000001E-5</v>
      </c>
      <c r="P57" s="9" t="str">
        <f t="shared" si="2"/>
        <v/>
      </c>
      <c r="Q57" s="9">
        <v>2.2500000000000001E-5</v>
      </c>
      <c r="R57" s="9" t="str">
        <f t="shared" si="2"/>
        <v/>
      </c>
      <c r="S57" s="9"/>
      <c r="T57" s="9" t="str">
        <f t="shared" si="2"/>
        <v/>
      </c>
      <c r="U57" s="9"/>
      <c r="V57" s="9" t="str">
        <f t="shared" si="2"/>
        <v/>
      </c>
      <c r="W57" s="9">
        <v>1.98E-5</v>
      </c>
      <c r="X57" s="9" t="str">
        <f t="shared" si="3"/>
        <v/>
      </c>
      <c r="Y57" s="9">
        <v>1.8700000000000001E-5</v>
      </c>
      <c r="Z57" s="9" t="str">
        <f t="shared" si="3"/>
        <v/>
      </c>
      <c r="AA57" s="9"/>
      <c r="AB57" s="9" t="str">
        <f t="shared" si="3"/>
        <v/>
      </c>
      <c r="AC57" s="9"/>
      <c r="AD57" s="9" t="str">
        <f t="shared" si="3"/>
        <v/>
      </c>
    </row>
    <row r="58" spans="1:30" x14ac:dyDescent="0.25">
      <c r="A58" s="3"/>
      <c r="B58" s="10">
        <v>0.129</v>
      </c>
      <c r="C58" s="9" t="str">
        <f t="shared" si="0"/>
        <v/>
      </c>
      <c r="D58" s="9"/>
      <c r="E58" s="10">
        <v>5.8999999999999997E-2</v>
      </c>
      <c r="F58" s="9" t="str">
        <f t="shared" si="0"/>
        <v/>
      </c>
      <c r="G58" s="10"/>
      <c r="H58" s="9" t="str">
        <f t="shared" si="0"/>
        <v/>
      </c>
      <c r="I58" s="10"/>
      <c r="J58" s="9" t="str">
        <f t="shared" si="0"/>
        <v/>
      </c>
      <c r="K58" s="10">
        <v>1.4E-2</v>
      </c>
      <c r="L58" s="9" t="str">
        <f t="shared" si="0"/>
        <v/>
      </c>
      <c r="M58" s="10">
        <v>2E-3</v>
      </c>
      <c r="N58" s="9" t="str">
        <f t="shared" si="2"/>
        <v/>
      </c>
      <c r="O58" s="10">
        <v>3.0000000000000001E-3</v>
      </c>
      <c r="P58" s="9" t="str">
        <f t="shared" si="2"/>
        <v/>
      </c>
      <c r="Q58" s="10">
        <v>0</v>
      </c>
      <c r="R58" s="9" t="str">
        <f t="shared" si="2"/>
        <v/>
      </c>
      <c r="S58" s="10"/>
      <c r="T58" s="9" t="str">
        <f t="shared" si="2"/>
        <v/>
      </c>
      <c r="U58" s="10"/>
      <c r="V58" s="9" t="str">
        <f t="shared" si="2"/>
        <v/>
      </c>
      <c r="W58" s="10">
        <v>2.9000000000000001E-2</v>
      </c>
      <c r="X58" s="9" t="str">
        <f t="shared" si="3"/>
        <v/>
      </c>
      <c r="Y58" s="10">
        <v>1.2E-2</v>
      </c>
      <c r="Z58" s="9" t="str">
        <f t="shared" si="3"/>
        <v/>
      </c>
      <c r="AA58" s="10"/>
      <c r="AB58" s="9" t="str">
        <f t="shared" si="3"/>
        <v/>
      </c>
      <c r="AC58" s="10"/>
      <c r="AD58" s="9" t="str">
        <f t="shared" si="3"/>
        <v/>
      </c>
    </row>
    <row r="59" spans="1:3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5">
      <c r="A60" s="2" t="s">
        <v>21</v>
      </c>
      <c r="B60" s="4" t="s">
        <v>22</v>
      </c>
      <c r="C60" s="4"/>
      <c r="D60" s="4"/>
      <c r="E60" s="4" t="s">
        <v>23</v>
      </c>
      <c r="F60" s="4"/>
      <c r="G60" s="4" t="s">
        <v>22</v>
      </c>
      <c r="H60" s="4"/>
      <c r="I60" s="4" t="s">
        <v>23</v>
      </c>
      <c r="J60" s="4"/>
      <c r="K60" s="4" t="s">
        <v>22</v>
      </c>
      <c r="L60" s="4"/>
      <c r="M60" s="4" t="s">
        <v>23</v>
      </c>
      <c r="N60" s="4"/>
      <c r="O60" s="4" t="s">
        <v>22</v>
      </c>
      <c r="P60" s="4"/>
      <c r="Q60" s="4" t="s">
        <v>23</v>
      </c>
      <c r="R60" s="4"/>
      <c r="S60" s="4" t="s">
        <v>22</v>
      </c>
      <c r="T60" s="4"/>
      <c r="U60" s="4" t="s">
        <v>23</v>
      </c>
      <c r="V60" s="4"/>
      <c r="W60" s="4" t="s">
        <v>22</v>
      </c>
      <c r="X60" s="4"/>
      <c r="Y60" s="4" t="s">
        <v>23</v>
      </c>
      <c r="Z60" s="4"/>
      <c r="AA60" s="4" t="s">
        <v>22</v>
      </c>
      <c r="AB60" s="4"/>
      <c r="AC60" s="4" t="s">
        <v>23</v>
      </c>
      <c r="AD60" s="4"/>
    </row>
    <row r="61" spans="1:3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5">
      <c r="A62" t="s">
        <v>24</v>
      </c>
      <c r="B62" s="5">
        <v>527.84</v>
      </c>
      <c r="C62" s="5"/>
      <c r="D62" s="5"/>
      <c r="E62" s="5">
        <v>109.48</v>
      </c>
      <c r="F62" s="5"/>
      <c r="G62" s="5">
        <v>96.05</v>
      </c>
      <c r="H62" s="5"/>
      <c r="I62" s="5">
        <v>117.42</v>
      </c>
      <c r="J62" s="5"/>
      <c r="K62" s="5">
        <v>15.82</v>
      </c>
      <c r="L62" s="5"/>
      <c r="M62" s="5">
        <v>14.98</v>
      </c>
      <c r="N62" s="5"/>
      <c r="O62" s="5">
        <v>96.77</v>
      </c>
      <c r="P62" s="5"/>
      <c r="Q62" s="5">
        <v>18.93</v>
      </c>
      <c r="R62" s="5"/>
      <c r="S62" s="5">
        <v>64.05</v>
      </c>
      <c r="T62" s="5"/>
      <c r="U62" s="5">
        <v>108.52</v>
      </c>
      <c r="V62" s="5"/>
      <c r="W62" s="5">
        <v>905.64</v>
      </c>
      <c r="X62" s="5"/>
      <c r="Y62" s="5">
        <v>113.04</v>
      </c>
      <c r="Z62" s="5"/>
      <c r="AA62" s="5">
        <v>18.61</v>
      </c>
      <c r="AB62" s="5"/>
      <c r="AC62" s="5">
        <v>98.35</v>
      </c>
      <c r="AD62" s="5"/>
    </row>
    <row r="63" spans="1:30" x14ac:dyDescent="0.25">
      <c r="A63" t="s">
        <v>25</v>
      </c>
      <c r="B63" s="5">
        <v>3578.69</v>
      </c>
      <c r="C63" s="5"/>
      <c r="D63" s="5"/>
      <c r="E63" s="5">
        <v>358.4</v>
      </c>
      <c r="F63" s="5"/>
      <c r="G63" s="5">
        <v>321.87</v>
      </c>
      <c r="H63" s="5"/>
      <c r="I63" s="5">
        <v>345.89</v>
      </c>
      <c r="J63" s="5"/>
      <c r="K63" s="5">
        <v>54.59</v>
      </c>
      <c r="L63" s="5"/>
      <c r="M63" s="5">
        <v>41.86</v>
      </c>
      <c r="N63" s="5"/>
      <c r="O63" s="5">
        <v>494.32</v>
      </c>
      <c r="P63" s="5"/>
      <c r="Q63" s="5">
        <v>62.84</v>
      </c>
      <c r="R63" s="5"/>
      <c r="S63" s="5">
        <v>322.14</v>
      </c>
      <c r="T63" s="5"/>
      <c r="U63" s="5">
        <v>349.4</v>
      </c>
      <c r="V63" s="5"/>
      <c r="W63" s="5">
        <v>3527.46</v>
      </c>
      <c r="X63" s="5"/>
      <c r="Y63" s="5">
        <v>292.82</v>
      </c>
      <c r="Z63" s="5"/>
      <c r="AA63" s="5">
        <v>56.87</v>
      </c>
      <c r="AB63" s="5"/>
      <c r="AC63" s="5">
        <v>281.76</v>
      </c>
      <c r="AD63" s="5"/>
    </row>
    <row r="64" spans="1:30" x14ac:dyDescent="0.25">
      <c r="A64" t="s">
        <v>26</v>
      </c>
      <c r="B64" s="6">
        <v>0.70588235294117652</v>
      </c>
      <c r="C64" s="6"/>
      <c r="D64" s="6"/>
      <c r="E64" s="6">
        <v>0.7142857142857143</v>
      </c>
      <c r="F64" s="6"/>
      <c r="G64" s="6">
        <v>0.75</v>
      </c>
      <c r="H64" s="6"/>
      <c r="I64" s="6">
        <v>0.81818181818181823</v>
      </c>
      <c r="J64" s="6"/>
      <c r="K64" s="6">
        <v>0.625</v>
      </c>
      <c r="L64" s="6"/>
      <c r="M64" s="6">
        <v>0.66666666666666663</v>
      </c>
      <c r="N64" s="6"/>
      <c r="O64" s="6">
        <v>0.63636363636363635</v>
      </c>
      <c r="P64" s="6"/>
      <c r="Q64" s="6">
        <v>0.69444444444444442</v>
      </c>
      <c r="R64" s="6"/>
      <c r="S64" s="6">
        <v>0.45454545454545447</v>
      </c>
      <c r="T64" s="6"/>
      <c r="U64" s="6">
        <v>0.69444444444444442</v>
      </c>
      <c r="V64" s="6"/>
      <c r="W64" s="6">
        <v>1</v>
      </c>
      <c r="X64" s="6"/>
      <c r="Y64" s="6">
        <v>0.8529411764705882</v>
      </c>
      <c r="Z64" s="6"/>
      <c r="AA64" s="6">
        <v>0.5714285714285714</v>
      </c>
      <c r="AB64" s="6"/>
      <c r="AC64" s="6">
        <v>0.78125</v>
      </c>
      <c r="AD64" s="6"/>
    </row>
    <row r="65" spans="1:30" x14ac:dyDescent="0.25">
      <c r="A65" s="3" t="s">
        <v>27</v>
      </c>
      <c r="B65" s="7">
        <v>0.23529411764705879</v>
      </c>
      <c r="C65" s="7"/>
      <c r="D65" s="7"/>
      <c r="E65" s="7">
        <v>0.5</v>
      </c>
      <c r="F65" s="7"/>
      <c r="G65" s="7">
        <v>0.25</v>
      </c>
      <c r="H65" s="7"/>
      <c r="I65" s="7">
        <v>0.5757575757575758</v>
      </c>
      <c r="J65" s="7"/>
      <c r="K65" s="7">
        <v>0.375</v>
      </c>
      <c r="L65" s="7"/>
      <c r="M65" s="7">
        <v>0.51515151515151514</v>
      </c>
      <c r="N65" s="7"/>
      <c r="O65" s="7">
        <v>0.1818181818181818</v>
      </c>
      <c r="P65" s="7"/>
      <c r="Q65" s="7">
        <v>0.5</v>
      </c>
      <c r="R65" s="7"/>
      <c r="S65" s="7">
        <v>0.1818181818181818</v>
      </c>
      <c r="T65" s="7"/>
      <c r="U65" s="7">
        <v>0.52777777777777779</v>
      </c>
      <c r="V65" s="7"/>
      <c r="W65" s="7">
        <v>0.22222222222222221</v>
      </c>
      <c r="X65" s="7"/>
      <c r="Y65" s="7">
        <v>0.5</v>
      </c>
      <c r="Z65" s="7"/>
      <c r="AA65" s="7">
        <v>0.2857142857142857</v>
      </c>
      <c r="AB65" s="7"/>
      <c r="AC65" s="7">
        <v>0.53125</v>
      </c>
      <c r="AD65" s="7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SET1_DA</vt:lpstr>
      <vt:lpstr>SET1_MAPE</vt:lpstr>
      <vt:lpstr>SET1_DIS</vt:lpstr>
      <vt:lpstr>SET2_DA</vt:lpstr>
      <vt:lpstr>SET2_MAPE</vt:lpstr>
      <vt:lpstr>SET2_DIS</vt:lpstr>
      <vt:lpstr>SET3_DA</vt:lpstr>
      <vt:lpstr>SET3_MAPE</vt:lpstr>
      <vt:lpstr>SET3_DIS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Andre Bernet Escobar Portius</cp:lastModifiedBy>
  <dcterms:created xsi:type="dcterms:W3CDTF">2023-05-07T16:51:22Z</dcterms:created>
  <dcterms:modified xsi:type="dcterms:W3CDTF">2023-05-07T17:41:59Z</dcterms:modified>
</cp:coreProperties>
</file>